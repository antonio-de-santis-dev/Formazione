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Andrea\Desktop\rogramma simulatore\"/>
    </mc:Choice>
  </mc:AlternateContent>
  <xr:revisionPtr revIDLastSave="0" documentId="13_ncr:1_{9A3EED0F-B782-44E0-93D4-143F4487EB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I" sheetId="6" r:id="rId1"/>
    <sheet name="NOVEMBRE-DICEMBRE" sheetId="12" r:id="rId2"/>
    <sheet name="DICEMBRE-GENNAIO" sheetId="9" r:id="rId3"/>
    <sheet name="GENNAIO-FEBBRAIO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2" l="1"/>
  <c r="E34" i="12"/>
  <c r="D65" i="12"/>
  <c r="F76" i="11"/>
  <c r="A142" i="11"/>
  <c r="D129" i="11"/>
  <c r="F129" i="11" s="1"/>
  <c r="F128" i="11"/>
  <c r="D125" i="11"/>
  <c r="F125" i="11" s="1"/>
  <c r="F124" i="11"/>
  <c r="F123" i="11"/>
  <c r="F117" i="11"/>
  <c r="D111" i="11"/>
  <c r="C111" i="11"/>
  <c r="D110" i="11"/>
  <c r="C110" i="11"/>
  <c r="F110" i="11" s="1"/>
  <c r="D109" i="11"/>
  <c r="C109" i="11"/>
  <c r="F108" i="11"/>
  <c r="F107" i="11"/>
  <c r="F106" i="11"/>
  <c r="F105" i="11"/>
  <c r="F104" i="11"/>
  <c r="A95" i="11"/>
  <c r="D77" i="11"/>
  <c r="D78" i="11" s="1"/>
  <c r="D73" i="11"/>
  <c r="F73" i="11" s="1"/>
  <c r="F72" i="11"/>
  <c r="F71" i="11"/>
  <c r="F65" i="11"/>
  <c r="D59" i="11"/>
  <c r="C59" i="11"/>
  <c r="F59" i="11" s="1"/>
  <c r="D58" i="11"/>
  <c r="C58" i="11"/>
  <c r="D57" i="11"/>
  <c r="C57" i="11"/>
  <c r="F56" i="11"/>
  <c r="F55" i="11"/>
  <c r="F54" i="11"/>
  <c r="F52" i="11"/>
  <c r="A47" i="11"/>
  <c r="C26" i="11"/>
  <c r="C59" i="12"/>
  <c r="C58" i="12"/>
  <c r="C57" i="12"/>
  <c r="F53" i="12"/>
  <c r="A142" i="12"/>
  <c r="D129" i="12"/>
  <c r="F129" i="12" s="1"/>
  <c r="F128" i="12"/>
  <c r="D125" i="12"/>
  <c r="F125" i="12" s="1"/>
  <c r="F124" i="12"/>
  <c r="F123" i="12"/>
  <c r="F126" i="12" s="1"/>
  <c r="F117" i="12"/>
  <c r="D112" i="12"/>
  <c r="D113" i="12" s="1"/>
  <c r="F111" i="12"/>
  <c r="D111" i="12"/>
  <c r="C111" i="12"/>
  <c r="D110" i="12"/>
  <c r="C110" i="12"/>
  <c r="F110" i="12" s="1"/>
  <c r="D109" i="12"/>
  <c r="C109" i="12"/>
  <c r="F109" i="12" s="1"/>
  <c r="F108" i="12"/>
  <c r="F107" i="12"/>
  <c r="F106" i="12"/>
  <c r="F105" i="12"/>
  <c r="F104" i="12"/>
  <c r="A95" i="12"/>
  <c r="D77" i="12"/>
  <c r="D78" i="12" s="1"/>
  <c r="F76" i="12"/>
  <c r="D73" i="12"/>
  <c r="F73" i="12" s="1"/>
  <c r="F72" i="12"/>
  <c r="F71" i="12"/>
  <c r="F65" i="12"/>
  <c r="D59" i="12"/>
  <c r="D58" i="12"/>
  <c r="D57" i="12"/>
  <c r="F56" i="12"/>
  <c r="F55" i="12"/>
  <c r="F54" i="12"/>
  <c r="F52" i="12"/>
  <c r="A47" i="12"/>
  <c r="C26" i="12"/>
  <c r="F139" i="9"/>
  <c r="F138" i="9"/>
  <c r="C111" i="9"/>
  <c r="C110" i="9"/>
  <c r="C109" i="9"/>
  <c r="A142" i="9"/>
  <c r="A95" i="9"/>
  <c r="C26" i="9"/>
  <c r="C59" i="9"/>
  <c r="C58" i="9"/>
  <c r="C57" i="9"/>
  <c r="D129" i="9"/>
  <c r="D130" i="9" s="1"/>
  <c r="F128" i="9"/>
  <c r="D125" i="9"/>
  <c r="F125" i="9" s="1"/>
  <c r="F124" i="9"/>
  <c r="F123" i="9"/>
  <c r="F117" i="9"/>
  <c r="D111" i="9"/>
  <c r="F111" i="9" s="1"/>
  <c r="D110" i="9"/>
  <c r="D109" i="9"/>
  <c r="F108" i="9"/>
  <c r="F107" i="9"/>
  <c r="F106" i="9"/>
  <c r="F105" i="9"/>
  <c r="F104" i="9"/>
  <c r="F52" i="9"/>
  <c r="F54" i="9"/>
  <c r="F55" i="9"/>
  <c r="F56" i="9"/>
  <c r="D57" i="9"/>
  <c r="D58" i="9"/>
  <c r="D59" i="9"/>
  <c r="F65" i="9"/>
  <c r="F71" i="9"/>
  <c r="F72" i="9"/>
  <c r="D73" i="9"/>
  <c r="F73" i="9" s="1"/>
  <c r="F76" i="9"/>
  <c r="D77" i="9"/>
  <c r="F77" i="9" s="1"/>
  <c r="D112" i="11" l="1"/>
  <c r="D113" i="11" s="1"/>
  <c r="D119" i="11" s="1"/>
  <c r="F119" i="11" s="1"/>
  <c r="F74" i="11"/>
  <c r="F58" i="11"/>
  <c r="D60" i="11"/>
  <c r="D61" i="11" s="1"/>
  <c r="F57" i="11"/>
  <c r="F111" i="11"/>
  <c r="F126" i="11"/>
  <c r="F109" i="11"/>
  <c r="D62" i="11"/>
  <c r="D67" i="11"/>
  <c r="F67" i="11" s="1"/>
  <c r="F61" i="11"/>
  <c r="D81" i="11"/>
  <c r="F81" i="11" s="1"/>
  <c r="F82" i="11" s="1"/>
  <c r="F78" i="11"/>
  <c r="D130" i="11"/>
  <c r="F77" i="11"/>
  <c r="F59" i="12"/>
  <c r="D60" i="12"/>
  <c r="D61" i="12" s="1"/>
  <c r="F61" i="12" s="1"/>
  <c r="F58" i="12"/>
  <c r="F57" i="12"/>
  <c r="D81" i="12"/>
  <c r="F81" i="12" s="1"/>
  <c r="F82" i="12" s="1"/>
  <c r="F78" i="12"/>
  <c r="F113" i="12"/>
  <c r="D114" i="12"/>
  <c r="D119" i="12"/>
  <c r="F119" i="12" s="1"/>
  <c r="F74" i="12"/>
  <c r="F77" i="12"/>
  <c r="F112" i="12"/>
  <c r="D130" i="12"/>
  <c r="F74" i="9"/>
  <c r="F109" i="9"/>
  <c r="F126" i="9"/>
  <c r="D112" i="9"/>
  <c r="D113" i="9" s="1"/>
  <c r="F59" i="9"/>
  <c r="D60" i="9"/>
  <c r="F60" i="9" s="1"/>
  <c r="F58" i="9"/>
  <c r="F57" i="9"/>
  <c r="D133" i="9"/>
  <c r="F133" i="9" s="1"/>
  <c r="F134" i="9" s="1"/>
  <c r="F130" i="9"/>
  <c r="F110" i="9"/>
  <c r="F129" i="9"/>
  <c r="F131" i="9" s="1"/>
  <c r="D78" i="9"/>
  <c r="F79" i="12" l="1"/>
  <c r="F138" i="12" s="1"/>
  <c r="F112" i="11"/>
  <c r="F113" i="11"/>
  <c r="D114" i="11"/>
  <c r="F60" i="11"/>
  <c r="F79" i="11"/>
  <c r="D63" i="11"/>
  <c r="F62" i="11"/>
  <c r="D133" i="11"/>
  <c r="F133" i="11" s="1"/>
  <c r="F134" i="11" s="1"/>
  <c r="C25" i="11" s="1"/>
  <c r="F130" i="11"/>
  <c r="F131" i="11" s="1"/>
  <c r="D115" i="11"/>
  <c r="F114" i="11"/>
  <c r="D62" i="12"/>
  <c r="D63" i="12" s="1"/>
  <c r="F60" i="12"/>
  <c r="D133" i="12"/>
  <c r="F133" i="12" s="1"/>
  <c r="F134" i="12" s="1"/>
  <c r="F130" i="12"/>
  <c r="F131" i="12" s="1"/>
  <c r="D115" i="12"/>
  <c r="F114" i="12"/>
  <c r="C25" i="12"/>
  <c r="F112" i="9"/>
  <c r="D61" i="9"/>
  <c r="D67" i="9" s="1"/>
  <c r="F67" i="9" s="1"/>
  <c r="D114" i="9"/>
  <c r="F113" i="9"/>
  <c r="D119" i="9"/>
  <c r="F119" i="9" s="1"/>
  <c r="F78" i="9"/>
  <c r="F79" i="9" s="1"/>
  <c r="C24" i="9" s="1"/>
  <c r="D81" i="9"/>
  <c r="F81" i="9" s="1"/>
  <c r="F82" i="9" s="1"/>
  <c r="C25" i="9" s="1"/>
  <c r="A47" i="9"/>
  <c r="C24" i="12" l="1"/>
  <c r="C24" i="11"/>
  <c r="D118" i="11"/>
  <c r="D116" i="11"/>
  <c r="F116" i="11" s="1"/>
  <c r="F115" i="11"/>
  <c r="D66" i="11"/>
  <c r="D64" i="11"/>
  <c r="F64" i="11" s="1"/>
  <c r="F63" i="11"/>
  <c r="F62" i="12"/>
  <c r="D66" i="12"/>
  <c r="D64" i="12"/>
  <c r="F64" i="12" s="1"/>
  <c r="F63" i="12"/>
  <c r="D118" i="12"/>
  <c r="F115" i="12"/>
  <c r="D116" i="12"/>
  <c r="F116" i="12" s="1"/>
  <c r="D62" i="9"/>
  <c r="F62" i="9" s="1"/>
  <c r="F61" i="9"/>
  <c r="F114" i="9"/>
  <c r="D115" i="9"/>
  <c r="F66" i="11" l="1"/>
  <c r="D68" i="11"/>
  <c r="F68" i="11" s="1"/>
  <c r="F69" i="11" s="1"/>
  <c r="F118" i="11"/>
  <c r="D120" i="11"/>
  <c r="F120" i="11" s="1"/>
  <c r="F121" i="11"/>
  <c r="D120" i="12"/>
  <c r="F120" i="12" s="1"/>
  <c r="F121" i="12" s="1"/>
  <c r="F118" i="12"/>
  <c r="F66" i="12"/>
  <c r="D63" i="9"/>
  <c r="D64" i="9" s="1"/>
  <c r="F64" i="9" s="1"/>
  <c r="F115" i="9"/>
  <c r="D118" i="9"/>
  <c r="D116" i="9"/>
  <c r="F116" i="9" s="1"/>
  <c r="F138" i="11" l="1"/>
  <c r="C27" i="11" s="1"/>
  <c r="F86" i="11"/>
  <c r="C23" i="11"/>
  <c r="F69" i="12"/>
  <c r="C23" i="12" s="1"/>
  <c r="D66" i="9"/>
  <c r="D68" i="9" s="1"/>
  <c r="F68" i="9" s="1"/>
  <c r="F63" i="9"/>
  <c r="F118" i="9"/>
  <c r="D120" i="9"/>
  <c r="F120" i="9" s="1"/>
  <c r="F137" i="11" l="1"/>
  <c r="C28" i="11" s="1"/>
  <c r="F137" i="12"/>
  <c r="F86" i="12"/>
  <c r="F66" i="9"/>
  <c r="F69" i="9"/>
  <c r="F121" i="9"/>
  <c r="F139" i="11" l="1"/>
  <c r="C27" i="12"/>
  <c r="C28" i="12"/>
  <c r="F139" i="12"/>
  <c r="C29" i="12" s="1"/>
  <c r="C23" i="9"/>
  <c r="F86" i="9"/>
  <c r="C29" i="11" l="1"/>
  <c r="E16" i="11" s="1"/>
  <c r="E29" i="12"/>
  <c r="E16" i="12"/>
  <c r="E26" i="12"/>
  <c r="E24" i="12"/>
  <c r="E25" i="12"/>
  <c r="E23" i="12"/>
  <c r="E28" i="12"/>
  <c r="F137" i="9"/>
  <c r="C27" i="9"/>
  <c r="E24" i="11" l="1"/>
  <c r="E29" i="11"/>
  <c r="E34" i="11"/>
  <c r="E35" i="11" s="1"/>
  <c r="E28" i="11"/>
  <c r="E23" i="11"/>
  <c r="E25" i="11"/>
  <c r="E26" i="11"/>
  <c r="C28" i="9"/>
  <c r="C29" i="9"/>
  <c r="E34" i="9" s="1"/>
  <c r="E35" i="9" l="1"/>
  <c r="E29" i="9" l="1"/>
  <c r="E24" i="9"/>
  <c r="E23" i="9"/>
  <c r="E25" i="9"/>
  <c r="E28" i="9"/>
  <c r="E26" i="9"/>
  <c r="E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</author>
  </authors>
  <commentList>
    <comment ref="E33" authorId="0" shapeId="0" xr:uid="{AFE0A53E-EE9C-4C54-847E-2FF4FC3EB8B1}">
      <text>
        <r>
          <rPr>
            <sz val="9"/>
            <color indexed="81"/>
            <rFont val="Tahoma"/>
            <family val="2"/>
          </rPr>
          <t xml:space="preserve">
INSERIRE IMPORTO FATTURA CLIENTE
dato modificabile</t>
        </r>
      </text>
    </comment>
    <comment ref="C51" authorId="0" shapeId="0" xr:uid="{3FFFD21D-A906-4345-B177-3E8C7380C7D4}">
      <text>
        <r>
          <rPr>
            <b/>
            <sz val="9"/>
            <color indexed="81"/>
            <rFont val="Tahoma"/>
            <family val="2"/>
          </rPr>
          <t>importi del fornitore che eesegue la simulazione</t>
        </r>
      </text>
    </comment>
    <comment ref="D51" authorId="0" shapeId="0" xr:uid="{B97090AC-8FC4-4B79-8364-129C2507EA38}">
      <text>
        <r>
          <rPr>
            <b/>
            <sz val="9"/>
            <color indexed="81"/>
            <rFont val="Tahoma"/>
            <family val="2"/>
          </rPr>
          <t>dati presenti sula boletta presa dal clinte</t>
        </r>
      </text>
    </comment>
    <comment ref="A52" authorId="0" shapeId="0" xr:uid="{C471932A-C438-4E7A-BE2C-87F51A885A08}">
      <text>
        <r>
          <rPr>
            <sz val="9"/>
            <color indexed="81"/>
            <rFont val="Tahoma"/>
            <charset val="1"/>
          </rPr>
          <t xml:space="preserve">E UN FISSO CHE APLICA LA SOOCIETA
DEVE ESERE MODIFFICABILE
</t>
        </r>
      </text>
    </comment>
    <comment ref="D52" authorId="0" shapeId="0" xr:uid="{AB72D638-F816-4584-A11E-E3674DB109BA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RICORDARE DI MODIFICARE QUANTITA'
</t>
        </r>
      </text>
    </comment>
    <comment ref="A53" authorId="0" shapeId="0" xr:uid="{FA5C77FE-5DAD-4DD4-9A87-06618017574D}">
      <text>
        <r>
          <rPr>
            <sz val="9"/>
            <color indexed="81"/>
            <rFont val="Tahoma"/>
            <charset val="1"/>
          </rPr>
          <t xml:space="preserve">DATTO Riportato oline 
andaare a cercare chi lo emete
</t>
        </r>
      </text>
    </comment>
    <comment ref="I53" authorId="0" shapeId="0" xr:uid="{13641C96-7AF3-4194-9DFF-A690855CC81F}">
      <text>
        <r>
          <rPr>
            <sz val="9"/>
            <color indexed="81"/>
            <rFont val="Tahoma"/>
            <charset val="1"/>
          </rPr>
          <t xml:space="preserve">e iil sovrapprezzo che laziena propone cioe il guadagnio e un dato che dve sesere modificato
</t>
        </r>
      </text>
    </comment>
    <comment ref="A54" authorId="0" shapeId="0" xr:uid="{01663B7D-EB0C-4C57-A291-9758C0D7AF3E}">
      <text>
        <r>
          <rPr>
            <sz val="9"/>
            <color indexed="81"/>
            <rFont val="Tahoma"/>
            <charset val="1"/>
          </rPr>
          <t xml:space="preserve">fasce orareie e cambiia mese per mese 
sito faace orarie : https://www.a2a.it/assistenza/tutela-cliente/indici/indice-pun
iln datto vaa somato allo spred
</t>
        </r>
      </text>
    </comment>
    <comment ref="D54" authorId="0" shapeId="0" xr:uid="{2878B049-2116-435B-B3F8-6ED239D6B282}">
      <text>
        <r>
          <rPr>
            <b/>
            <sz val="9"/>
            <color indexed="81"/>
            <rFont val="Tahoma"/>
            <family val="2"/>
          </rPr>
          <t>vano caricati e presi ddalla fatura del cliente</t>
        </r>
      </text>
    </comment>
    <comment ref="A57" authorId="0" shapeId="0" xr:uid="{42D2B3E6-55D6-423A-9266-4D86734805A5}">
      <text>
        <r>
          <rPr>
            <sz val="9"/>
            <color indexed="81"/>
            <rFont val="Tahoma"/>
            <family val="2"/>
          </rPr>
          <t>sono equivalenti all 10% della quantita del energioia attiva (colonna di dell fasce orarie)</t>
        </r>
      </text>
    </comment>
    <comment ref="A60" authorId="0" shapeId="0" xr:uid="{5FCB6581-AC11-4603-90C8-E081C577392B}">
      <text>
        <r>
          <rPr>
            <sz val="9"/>
            <color indexed="81"/>
            <rFont val="Tahoma"/>
            <family val="2"/>
          </rPr>
          <t>sono corispetiivi ce si trovano oline duradta dei corispetivi annuale 
lin inseriscee terna</t>
        </r>
      </text>
    </comment>
    <comment ref="D60" authorId="0" shapeId="0" xr:uid="{EEEE0F6D-BA23-4111-A557-C5EDD09C7DC9}">
      <text>
        <r>
          <rPr>
            <b/>
            <sz val="9"/>
            <color indexed="81"/>
            <rFont val="Tahoma"/>
            <family val="2"/>
          </rPr>
          <t>sono la somma  energia ativa + perdita di rete</t>
        </r>
      </text>
    </comment>
    <comment ref="A65" authorId="0" shapeId="0" xr:uid="{0636355C-80E0-4490-B381-A5C4D966D758}">
      <text>
        <r>
          <rPr>
            <sz val="9"/>
            <color indexed="81"/>
            <rFont val="Tahoma"/>
            <family val="2"/>
          </rPr>
          <t>questi li decide il fornitore quindi devono esere modificabili</t>
        </r>
      </text>
    </comment>
    <comment ref="A66" authorId="0" shapeId="0" xr:uid="{C95EFD33-141C-470D-BD05-DF4F03D23CD5}">
      <text>
        <r>
          <rPr>
            <sz val="9"/>
            <color indexed="81"/>
            <rFont val="Tahoma"/>
            <family val="2"/>
          </rPr>
          <t xml:space="preserve">questi li decide il fornitore quindi devono esere modificabili
</t>
        </r>
      </text>
    </comment>
    <comment ref="A71" authorId="0" shapeId="0" xr:uid="{A377E0FC-4883-4154-80D9-204C780B9697}">
      <text>
        <r>
          <rPr>
            <b/>
            <sz val="9"/>
            <color indexed="81"/>
            <rFont val="Tahoma"/>
            <family val="2"/>
          </rPr>
          <t>sono vaalori che sitrovanno oline sul sito del distributore locale in questo caso enel distribuzione</t>
        </r>
      </text>
    </comment>
    <comment ref="D71" authorId="0" shapeId="0" xr:uid="{D9DD068F-50FE-45B6-9C16-88C7304E13E3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POTENZA CONTATORE
deve esere un dato di inserimento</t>
        </r>
      </text>
    </comment>
    <comment ref="C76" authorId="0" shapeId="0" xr:uid="{9FAD4AD4-8733-4439-B727-D60615DCECF8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SUL DOMESTICO RESIDENZIALE E' 0
sul domestico  non residenziale e 7,…
select</t>
        </r>
      </text>
    </comment>
    <comment ref="A77" authorId="0" shapeId="0" xr:uid="{14C75624-DB95-4456-B6B6-52C011F86E6B}">
      <text>
        <r>
          <rPr>
            <sz val="9"/>
            <color indexed="81"/>
            <rFont val="Tahoma"/>
            <family val="2"/>
          </rPr>
          <t xml:space="preserve">quote fisse che si trovano oline
</t>
        </r>
      </text>
    </comment>
    <comment ref="A81" authorId="0" shapeId="0" xr:uid="{29004880-08C3-4051-8588-AC1C5FD57DC8}">
      <text>
        <r>
          <rPr>
            <b/>
            <sz val="9"/>
            <color indexed="81"/>
            <rFont val="Tahoma"/>
            <family val="2"/>
          </rPr>
          <t xml:space="preserve">stato di meerd che ci tass varia in baase al consumo annuo e ci sono i valori oline 
</t>
        </r>
      </text>
    </comment>
    <comment ref="F85" authorId="0" shapeId="0" xr:uid="{F81E0C6C-320D-4C77-A562-9A1E9BECB94B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INSERIRE ALTRE PARTITE
</t>
        </r>
      </text>
    </comment>
    <comment ref="D104" authorId="0" shapeId="0" xr:uid="{A4141BE7-212C-4A00-BC1C-E4F23D7236D1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RICORDARE DI MODIFICARE QUANTITA'
</t>
        </r>
      </text>
    </comment>
    <comment ref="D123" authorId="0" shapeId="0" xr:uid="{E3F251BB-B107-4826-BEF7-40F7BE5B7419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POTENZA CONTATORE</t>
        </r>
      </text>
    </comment>
    <comment ref="C128" authorId="0" shapeId="0" xr:uid="{8425234B-B786-4224-BD6C-D93CF0DD842B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SUL DOMESTICO RESIDENZIALE E' 0
</t>
        </r>
      </text>
    </comment>
    <comment ref="F135" authorId="0" shapeId="0" xr:uid="{80A6986B-CD22-4903-950D-21E42346957E}">
      <text>
        <r>
          <rPr>
            <sz val="9"/>
            <color indexed="81"/>
            <rFont val="Tahoma"/>
            <family val="2"/>
          </rPr>
          <t xml:space="preserve">
INSERIRE ALTRE PARTITE
inserire manualmente che posssono esere il canone teleevisivo</t>
        </r>
      </text>
    </comment>
    <comment ref="F136" authorId="0" shapeId="0" xr:uid="{011919F3-B4B5-479D-88BA-69B0EAC7AE1C}">
      <text>
        <r>
          <rPr>
            <b/>
            <sz val="9"/>
            <color indexed="81"/>
            <rFont val="Tahoma"/>
            <family val="2"/>
          </rPr>
          <t xml:space="preserve">dato di inserimento </t>
        </r>
      </text>
    </comment>
    <comment ref="F138" authorId="0" shapeId="0" xr:uid="{B3F2B280-160A-4D20-A380-C48871ECE423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INSERIRE ALTRE PARTITE
AGGIUGERE ANCHE IL CANONE TELEVISIVO SU DOMESTICO RESIDENTE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</author>
  </authors>
  <commentList>
    <comment ref="E33" authorId="0" shapeId="0" xr:uid="{A86EC727-8E2D-4B32-AD0B-E374A9FFCCE7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INSERIRE IMPORTO FATTURA CLIENTE
</t>
        </r>
      </text>
    </comment>
    <comment ref="D52" authorId="0" shapeId="0" xr:uid="{392275DE-F176-44E6-A6F8-F64089B3AC1F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RICORDARE DI MODIFICARE QUANTITA'
</t>
        </r>
      </text>
    </comment>
    <comment ref="D71" authorId="0" shapeId="0" xr:uid="{62A286D9-3FC9-4C8B-90F1-8328C96B6CDE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POTENZA CONTATORE</t>
        </r>
      </text>
    </comment>
    <comment ref="C76" authorId="0" shapeId="0" xr:uid="{CEA4209B-B273-4EC5-9017-D4C6D1E29FEB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SUL DOMESTICO RESIDENZIALE E' 0
</t>
        </r>
      </text>
    </comment>
    <comment ref="F85" authorId="0" shapeId="0" xr:uid="{5C7661DD-2618-4751-9A6F-2BC28C2BDAB8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INSERIRE ALTRE PARTITE
</t>
        </r>
      </text>
    </comment>
    <comment ref="D104" authorId="0" shapeId="0" xr:uid="{FABD9B16-AE19-4C3C-B607-F9A658BD8F90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RICORDARE DI MODIFICARE QUANTITA'
</t>
        </r>
      </text>
    </comment>
    <comment ref="D123" authorId="0" shapeId="0" xr:uid="{C5C176AB-5A33-4754-91C7-15CBE4F2A566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POTENZA CONTATORE</t>
        </r>
      </text>
    </comment>
    <comment ref="C128" authorId="0" shapeId="0" xr:uid="{40DC04A9-C195-4642-BCD1-C79C97D9DCBA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SUL DOMESTICO RESIDENZIALE E' 0
</t>
        </r>
      </text>
    </comment>
    <comment ref="F135" authorId="0" shapeId="0" xr:uid="{91FCF545-2077-4FCA-8313-225441DCA40C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INSERIRE ALTRE PARTITE
</t>
        </r>
      </text>
    </comment>
    <comment ref="F138" authorId="0" shapeId="0" xr:uid="{D99EF0F5-56AE-4081-B8FB-E32397628A11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INSERIRE ALTRE PARTITE
AGGIUGERE ANCHE IL CANONE TELEVISIVO SU DOMESTICO RESIDENTE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</author>
  </authors>
  <commentList>
    <comment ref="E33" authorId="0" shapeId="0" xr:uid="{34E019BA-6516-418E-8891-D9393117B2EA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INSERIRE IMPORTO FATTURA CLIENTE
</t>
        </r>
      </text>
    </comment>
    <comment ref="D52" authorId="0" shapeId="0" xr:uid="{B25D263E-4B46-4D94-9836-501999F1F334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RICORDARE DI MODIFICARE QUANTITA'
</t>
        </r>
      </text>
    </comment>
    <comment ref="D71" authorId="0" shapeId="0" xr:uid="{4A7F61F4-3D42-480C-AC2E-9209D8702AA8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POTENZA CONTATORE</t>
        </r>
      </text>
    </comment>
    <comment ref="C76" authorId="0" shapeId="0" xr:uid="{88762898-71B0-4A38-BC44-96C7B12E2A08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SUL DOMESTICO RESIDENZIALE E' 0
</t>
        </r>
      </text>
    </comment>
    <comment ref="F85" authorId="0" shapeId="0" xr:uid="{ED7C1654-5E86-4BA3-A893-33E5A704A296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INSERIRE ALTRE PARTITE
</t>
        </r>
      </text>
    </comment>
    <comment ref="D104" authorId="0" shapeId="0" xr:uid="{A256FC5C-6326-40F0-BEF9-FC4D1A921E97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RICORDARE DI MODIFICARE QUANTITA'
</t>
        </r>
      </text>
    </comment>
    <comment ref="D123" authorId="0" shapeId="0" xr:uid="{53FDAD12-0FA4-438A-A747-2793A4E32505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POTENZA CONTATORE</t>
        </r>
      </text>
    </comment>
    <comment ref="C128" authorId="0" shapeId="0" xr:uid="{1DD3FA1D-3702-4325-8CBE-EB3E175AEA78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SUL DOMESTICO RESIDENZIALE E' 0
</t>
        </r>
      </text>
    </comment>
    <comment ref="F135" authorId="0" shapeId="0" xr:uid="{0F6900D3-0597-4F32-BDB5-A6D483246A23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INSERIRE ALTRE PARTITE
</t>
        </r>
      </text>
    </comment>
    <comment ref="F138" authorId="0" shapeId="0" xr:uid="{D9134F09-5FC0-45CA-8761-273E44656ABF}">
      <text>
        <r>
          <rPr>
            <b/>
            <sz val="9"/>
            <color indexed="81"/>
            <rFont val="Tahoma"/>
            <family val="2"/>
          </rPr>
          <t>Andrea:</t>
        </r>
        <r>
          <rPr>
            <sz val="9"/>
            <color indexed="81"/>
            <rFont val="Tahoma"/>
            <family val="2"/>
          </rPr>
          <t xml:space="preserve">
INSERIRE ALTRE PARTITE
AGGIUGERE ANCHE IL CANONE TELEVISIVO SU DOMESTICO RESIDENTE</t>
        </r>
      </text>
    </comment>
  </commentList>
</comments>
</file>

<file path=xl/sharedStrings.xml><?xml version="1.0" encoding="utf-8"?>
<sst xmlns="http://schemas.openxmlformats.org/spreadsheetml/2006/main" count="428" uniqueCount="77">
  <si>
    <t>Ragione Sociale</t>
  </si>
  <si>
    <t>Data Riferimento</t>
  </si>
  <si>
    <t>Totale Fattura €</t>
  </si>
  <si>
    <t>QUADRO SINTETICO FORNITURA ENERGIA ELETTRICA</t>
  </si>
  <si>
    <t>DESCRIZIONE</t>
  </si>
  <si>
    <t>IMPORTO €</t>
  </si>
  <si>
    <t>%</t>
  </si>
  <si>
    <t>TOTALE SPESA PER LA MATERIA PRIMA</t>
  </si>
  <si>
    <t>TOTALE TRASPORTO CONTATORE ED ONERI</t>
  </si>
  <si>
    <t>TOTALE IMPOSTE</t>
  </si>
  <si>
    <t>TOTALE ALTRE PARTITE</t>
  </si>
  <si>
    <t>TOTALE IMPONIBILE</t>
  </si>
  <si>
    <t>TOTALE IVA</t>
  </si>
  <si>
    <t>TOTALE FATTURA</t>
  </si>
  <si>
    <t>IL TUO RISPARMIO</t>
  </si>
  <si>
    <t>Importo Fattura Precedente Fornitore</t>
  </si>
  <si>
    <t>Risparmio Annuale</t>
  </si>
  <si>
    <t>MISURA</t>
  </si>
  <si>
    <t>CORRISPETTIVI</t>
  </si>
  <si>
    <t>QUANTITA'</t>
  </si>
  <si>
    <t>IVA%</t>
  </si>
  <si>
    <t>TOTALE€</t>
  </si>
  <si>
    <t>COMMERCIALIZZAZIONE E VENDITA</t>
  </si>
  <si>
    <t>DISPBT</t>
  </si>
  <si>
    <t>QUOTA ENERGIA ATTIVA F1</t>
  </si>
  <si>
    <t>QUOTA ENERGIA ATTIVA F2</t>
  </si>
  <si>
    <t>€/Kwh</t>
  </si>
  <si>
    <t>QUOTA ENERGIA ATTIVA F3</t>
  </si>
  <si>
    <t>PERDITE DI RETE F1</t>
  </si>
  <si>
    <t>PERDITE DI RETE F2</t>
  </si>
  <si>
    <t>€/kwh</t>
  </si>
  <si>
    <t>PERDITE DI RETE F3</t>
  </si>
  <si>
    <t>MSD- art.44 delib. AEEG111/06</t>
  </si>
  <si>
    <t>UES- art. 45 delib. AEEG 111/06</t>
  </si>
  <si>
    <t>RTN- art.46 delib. AEEG 111/06</t>
  </si>
  <si>
    <t>INT. Art 73 bis delib. AEEG 11/06</t>
  </si>
  <si>
    <t>Aggregazione Misure (Del.107/09)</t>
  </si>
  <si>
    <t>€/kwh/Mese</t>
  </si>
  <si>
    <t>Corrispettivo Capacità Mercato</t>
  </si>
  <si>
    <t>TOTALE SPESA PER LA MATERIA DI ENERGIA</t>
  </si>
  <si>
    <t>CORRISPETTIVO €/KW</t>
  </si>
  <si>
    <t>€/kW</t>
  </si>
  <si>
    <t>CORRISPETTIVO €/mese</t>
  </si>
  <si>
    <t>€/pod/Mese</t>
  </si>
  <si>
    <t>CORRISPETTIVO €/kwh Scag1mese1</t>
  </si>
  <si>
    <t>TOTALE SPESA PER IL TRASPORTO E LA GESTIONE DEL CONTATORE</t>
  </si>
  <si>
    <t>Oneri generali sostegno rinnovabili (Asos)- quota fissa</t>
  </si>
  <si>
    <t>Rimanenti oneri generali (Arim)-quota variabile</t>
  </si>
  <si>
    <t>Oneri generali sostegno rinnovabili (Asos)- quota variabile</t>
  </si>
  <si>
    <t>TOTALE SPESA PER ONERI DI SITEMA</t>
  </si>
  <si>
    <t xml:space="preserve">Accisa domestico </t>
  </si>
  <si>
    <t xml:space="preserve">TOTALE IMPOSTE </t>
  </si>
  <si>
    <t>DETTAGLIO GENNAIO</t>
  </si>
  <si>
    <t>DETTAGLIO DICEMBRE</t>
  </si>
  <si>
    <t>Risparmio Bimestrale</t>
  </si>
  <si>
    <t>TOTALE ALTRE PARTITE NON SOGGETTEAD IVA</t>
  </si>
  <si>
    <t>DETTAGLIO NOVEMBRE</t>
  </si>
  <si>
    <t>Corrispettivo ONERI SBILANCIAMENTO CONTATORI NON ORARI</t>
  </si>
  <si>
    <t>Corrispettivo PCV VARIABILE N.</t>
  </si>
  <si>
    <t>€</t>
  </si>
  <si>
    <t>€/MESE</t>
  </si>
  <si>
    <t>SAL - art.48 delib. ARERA 111/06</t>
  </si>
  <si>
    <t>Corrispettivo oneri sbilanciamneto contatori non orari</t>
  </si>
  <si>
    <t>DIC.2024-GEN.2025</t>
  </si>
  <si>
    <t>TOTALE ALTRE PARTITE (CANONE TELEVISIVO)</t>
  </si>
  <si>
    <t xml:space="preserve">DETTAGLIO DICEMBRE </t>
  </si>
  <si>
    <t>Corrispettivo mercato capacità su libero mercato del.566/21</t>
  </si>
  <si>
    <t>INT (art. 73 DEL 111/06)</t>
  </si>
  <si>
    <t>DIS (remun.Terna) (art. 46 del 111/06)</t>
  </si>
  <si>
    <t>MSD (art. 44 del. 111/06)</t>
  </si>
  <si>
    <t>Sicur.+reint.sic (art.45 del. 111/06)</t>
  </si>
  <si>
    <t>Corrispettivo PCV Variabile n.</t>
  </si>
  <si>
    <t xml:space="preserve">Corrispettivo ONERI SBILANCIAMENTO CONTATORI </t>
  </si>
  <si>
    <t xml:space="preserve"> SPREAD 0,01</t>
  </si>
  <si>
    <t>DETTAGLIO FEBBRAIO</t>
  </si>
  <si>
    <t>DETTAGLIO MARZO</t>
  </si>
  <si>
    <t>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</si>
</sst>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0.000000"/>
    <numFmt numFmtId="166" formatCode="_-* #,##0.000\ _€_-;\-* #,##0.000\ _€_-;_-* &quot;-&quot;??\ _€_-;_-@_-"/>
    <numFmt numFmtId="167" formatCode="0.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B5003"/>
        <bgColor indexed="64"/>
      </patternFill>
    </fill>
    <fill>
      <patternFill patternType="solid">
        <fgColor rgb="FFEF772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088E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0" fillId="2" borderId="0" xfId="0" applyFill="1"/>
    <xf numFmtId="14" fontId="6" fillId="0" borderId="0" xfId="0" applyNumberFormat="1" applyFont="1" applyAlignment="1">
      <alignment horizontal="left"/>
    </xf>
    <xf numFmtId="0" fontId="6" fillId="0" borderId="0" xfId="0" applyFont="1"/>
    <xf numFmtId="43" fontId="0" fillId="0" borderId="0" xfId="1" applyFont="1"/>
    <xf numFmtId="165" fontId="0" fillId="0" borderId="0" xfId="0" applyNumberFormat="1"/>
    <xf numFmtId="0" fontId="0" fillId="2" borderId="5" xfId="0" applyFill="1" applyBorder="1"/>
    <xf numFmtId="166" fontId="0" fillId="2" borderId="5" xfId="0" applyNumberFormat="1" applyFill="1" applyBorder="1"/>
    <xf numFmtId="164" fontId="0" fillId="2" borderId="5" xfId="0" applyNumberFormat="1" applyFill="1" applyBorder="1"/>
    <xf numFmtId="0" fontId="0" fillId="2" borderId="7" xfId="0" applyFill="1" applyBorder="1"/>
    <xf numFmtId="43" fontId="0" fillId="2" borderId="7" xfId="1" applyFont="1" applyFill="1" applyBorder="1"/>
    <xf numFmtId="165" fontId="0" fillId="2" borderId="0" xfId="0" applyNumberFormat="1" applyFill="1"/>
    <xf numFmtId="0" fontId="0" fillId="0" borderId="0" xfId="0" applyAlignment="1">
      <alignment wrapText="1"/>
    </xf>
    <xf numFmtId="0" fontId="2" fillId="2" borderId="5" xfId="0" applyFont="1" applyFill="1" applyBorder="1"/>
    <xf numFmtId="164" fontId="2" fillId="2" borderId="5" xfId="0" applyNumberFormat="1" applyFont="1" applyFill="1" applyBorder="1"/>
    <xf numFmtId="0" fontId="4" fillId="3" borderId="4" xfId="0" applyFont="1" applyFill="1" applyBorder="1"/>
    <xf numFmtId="0" fontId="2" fillId="3" borderId="4" xfId="0" applyFont="1" applyFill="1" applyBorder="1"/>
    <xf numFmtId="0" fontId="4" fillId="3" borderId="9" xfId="0" applyFont="1" applyFill="1" applyBorder="1"/>
    <xf numFmtId="0" fontId="0" fillId="3" borderId="4" xfId="0" applyFill="1" applyBorder="1"/>
    <xf numFmtId="0" fontId="4" fillId="3" borderId="5" xfId="0" applyFont="1" applyFill="1" applyBorder="1"/>
    <xf numFmtId="0" fontId="0" fillId="3" borderId="5" xfId="0" applyFill="1" applyBorder="1"/>
    <xf numFmtId="0" fontId="4" fillId="3" borderId="8" xfId="0" applyFont="1" applyFill="1" applyBorder="1"/>
    <xf numFmtId="0" fontId="0" fillId="4" borderId="5" xfId="0" applyFill="1" applyBorder="1"/>
    <xf numFmtId="164" fontId="0" fillId="4" borderId="5" xfId="0" applyNumberFormat="1" applyFill="1" applyBorder="1"/>
    <xf numFmtId="0" fontId="5" fillId="5" borderId="5" xfId="0" applyFont="1" applyFill="1" applyBorder="1"/>
    <xf numFmtId="0" fontId="0" fillId="5" borderId="5" xfId="0" applyFill="1" applyBorder="1"/>
    <xf numFmtId="43" fontId="0" fillId="5" borderId="8" xfId="0" applyNumberFormat="1" applyFill="1" applyBorder="1"/>
    <xf numFmtId="9" fontId="0" fillId="5" borderId="8" xfId="2" applyFont="1" applyFill="1" applyBorder="1"/>
    <xf numFmtId="164" fontId="0" fillId="5" borderId="8" xfId="0" applyNumberFormat="1" applyFill="1" applyBorder="1"/>
    <xf numFmtId="0" fontId="0" fillId="5" borderId="6" xfId="0" applyFill="1" applyBorder="1"/>
    <xf numFmtId="164" fontId="0" fillId="5" borderId="10" xfId="0" applyNumberFormat="1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9" fillId="5" borderId="1" xfId="0" applyFont="1" applyFill="1" applyBorder="1"/>
    <xf numFmtId="164" fontId="0" fillId="5" borderId="1" xfId="0" applyNumberFormat="1" applyFill="1" applyBorder="1"/>
    <xf numFmtId="0" fontId="0" fillId="5" borderId="8" xfId="0" applyFill="1" applyBorder="1"/>
    <xf numFmtId="0" fontId="0" fillId="5" borderId="0" xfId="0" applyFill="1"/>
    <xf numFmtId="43" fontId="0" fillId="5" borderId="0" xfId="1" applyFont="1" applyFill="1"/>
    <xf numFmtId="0" fontId="0" fillId="6" borderId="5" xfId="0" applyFill="1" applyBorder="1"/>
    <xf numFmtId="0" fontId="0" fillId="7" borderId="5" xfId="0" applyFill="1" applyBorder="1"/>
    <xf numFmtId="0" fontId="0" fillId="8" borderId="5" xfId="0" applyFill="1" applyBorder="1"/>
    <xf numFmtId="164" fontId="0" fillId="8" borderId="5" xfId="0" applyNumberFormat="1" applyFill="1" applyBorder="1"/>
    <xf numFmtId="0" fontId="0" fillId="9" borderId="5" xfId="0" applyFill="1" applyBorder="1"/>
    <xf numFmtId="164" fontId="0" fillId="9" borderId="5" xfId="0" applyNumberFormat="1" applyFill="1" applyBorder="1"/>
    <xf numFmtId="167" fontId="0" fillId="0" borderId="0" xfId="0" applyNumberFormat="1"/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10" borderId="0" xfId="0" applyFill="1"/>
    <xf numFmtId="165" fontId="0" fillId="10" borderId="0" xfId="0" applyNumberFormat="1" applyFill="1"/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colors>
    <mruColors>
      <color rgb="FFF088E9"/>
      <color rgb="FFEF7725"/>
      <color rgb="FFFB50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125506</xdr:colOff>
      <xdr:row>0</xdr:row>
      <xdr:rowOff>134472</xdr:rowOff>
    </xdr:from>
    <xdr:to>
      <xdr:col>5</xdr:col>
      <xdr:colOff>663388</xdr:colOff>
      <xdr:row>8</xdr:row>
      <xdr:rowOff>44823</xdr:rowOff>
    </xdr:to>
    <xdr:sp macro="" textlink="">
      <xdr:nvSpPr>
        <xdr:cNvPr id="2" name="Rettangolo con angoli arrotondati 1">
          <a:extLst>
            <a:ext uri="{FF2B5EF4-FFF2-40B4-BE49-F238E27FC236}">
              <a16:creationId xmlns:a16="http://schemas.microsoft.com/office/drawing/2014/main" id="{67752D6D-4F27-43DF-B129-1FBBE56A0DEE}"/>
            </a:ext>
          </a:extLst>
        </xdr:cNvPr>
        <xdr:cNvSpPr/>
      </xdr:nvSpPr>
      <xdr:spPr>
        <a:xfrm>
          <a:off x="2960146" y="134472"/>
          <a:ext cx="2930562" cy="1373391"/>
        </a:xfrm>
        <a:prstGeom prst="roundRect">
          <a:avLst/>
        </a:prstGeom>
        <a:solidFill>
          <a:srgbClr val="FB500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200">
              <a:solidFill>
                <a:schemeClr val="bg1"/>
              </a:solidFill>
            </a:rPr>
            <a:t>ANDREA DE SANTIS</a:t>
          </a:r>
        </a:p>
        <a:p>
          <a:pPr algn="l"/>
          <a:r>
            <a:rPr lang="it-IT" sz="1100">
              <a:solidFill>
                <a:schemeClr val="bg1"/>
              </a:solidFill>
            </a:rPr>
            <a:t>TEL. 3887588747</a:t>
          </a:r>
        </a:p>
        <a:p>
          <a:pPr algn="l"/>
          <a:r>
            <a:rPr lang="it-IT" sz="1100">
              <a:solidFill>
                <a:schemeClr val="bg1"/>
              </a:solidFill>
            </a:rPr>
            <a:t>EMAIL:</a:t>
          </a:r>
          <a:r>
            <a:rPr lang="it-IT" sz="1100" baseline="0">
              <a:solidFill>
                <a:schemeClr val="bg1"/>
              </a:solidFill>
            </a:rPr>
            <a:t> </a:t>
          </a:r>
          <a:endParaRPr lang="it-IT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80682</xdr:colOff>
      <xdr:row>6</xdr:row>
      <xdr:rowOff>143436</xdr:rowOff>
    </xdr:from>
    <xdr:to>
      <xdr:col>0</xdr:col>
      <xdr:colOff>630698</xdr:colOff>
      <xdr:row>9</xdr:row>
      <xdr:rowOff>132005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D628CEA-2687-4D7D-ADCD-A21E3DFC3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" y="1240716"/>
          <a:ext cx="555731" cy="5486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125506</xdr:colOff>
      <xdr:row>0</xdr:row>
      <xdr:rowOff>134472</xdr:rowOff>
    </xdr:from>
    <xdr:to>
      <xdr:col>5</xdr:col>
      <xdr:colOff>663388</xdr:colOff>
      <xdr:row>8</xdr:row>
      <xdr:rowOff>44823</xdr:rowOff>
    </xdr:to>
    <xdr:sp macro="" textlink="">
      <xdr:nvSpPr>
        <xdr:cNvPr id="2" name="Rettangolo con angoli arrotondati 1">
          <a:extLst>
            <a:ext uri="{FF2B5EF4-FFF2-40B4-BE49-F238E27FC236}">
              <a16:creationId xmlns:a16="http://schemas.microsoft.com/office/drawing/2014/main" id="{2DD24FD2-E1E7-4B57-8E18-C0836D65CFC0}"/>
            </a:ext>
          </a:extLst>
        </xdr:cNvPr>
        <xdr:cNvSpPr/>
      </xdr:nvSpPr>
      <xdr:spPr>
        <a:xfrm>
          <a:off x="2960146" y="134472"/>
          <a:ext cx="2930562" cy="1373391"/>
        </a:xfrm>
        <a:prstGeom prst="roundRect">
          <a:avLst/>
        </a:prstGeom>
        <a:solidFill>
          <a:srgbClr val="FB500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200">
              <a:solidFill>
                <a:schemeClr val="bg1"/>
              </a:solidFill>
            </a:rPr>
            <a:t>ANDREA DE SANTIS</a:t>
          </a:r>
        </a:p>
        <a:p>
          <a:pPr algn="l"/>
          <a:r>
            <a:rPr lang="it-IT" sz="1100">
              <a:solidFill>
                <a:schemeClr val="bg1"/>
              </a:solidFill>
            </a:rPr>
            <a:t>TEL. 3887588747</a:t>
          </a:r>
        </a:p>
        <a:p>
          <a:pPr algn="l"/>
          <a:r>
            <a:rPr lang="it-IT" sz="1100">
              <a:solidFill>
                <a:schemeClr val="bg1"/>
              </a:solidFill>
            </a:rPr>
            <a:t>EMAIL:</a:t>
          </a:r>
          <a:r>
            <a:rPr lang="it-IT" sz="1100" baseline="0">
              <a:solidFill>
                <a:schemeClr val="bg1"/>
              </a:solidFill>
            </a:rPr>
            <a:t> </a:t>
          </a:r>
          <a:endParaRPr lang="it-IT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80682</xdr:colOff>
      <xdr:row>6</xdr:row>
      <xdr:rowOff>143436</xdr:rowOff>
    </xdr:from>
    <xdr:to>
      <xdr:col>0</xdr:col>
      <xdr:colOff>636413</xdr:colOff>
      <xdr:row>9</xdr:row>
      <xdr:rowOff>143435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C8AC29C-3970-4D1E-82E3-571491065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" y="1240716"/>
          <a:ext cx="555731" cy="5486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116541</xdr:colOff>
      <xdr:row>0</xdr:row>
      <xdr:rowOff>80683</xdr:rowOff>
    </xdr:from>
    <xdr:to>
      <xdr:col>5</xdr:col>
      <xdr:colOff>654423</xdr:colOff>
      <xdr:row>7</xdr:row>
      <xdr:rowOff>170328</xdr:rowOff>
    </xdr:to>
    <xdr:sp macro="" textlink="">
      <xdr:nvSpPr>
        <xdr:cNvPr id="2" name="Rettangolo con angoli arrotondati 1">
          <a:extLst>
            <a:ext uri="{FF2B5EF4-FFF2-40B4-BE49-F238E27FC236}">
              <a16:creationId xmlns:a16="http://schemas.microsoft.com/office/drawing/2014/main" id="{9177F24D-3FC8-4654-B9AA-7EAFB600B487}"/>
            </a:ext>
          </a:extLst>
        </xdr:cNvPr>
        <xdr:cNvSpPr/>
      </xdr:nvSpPr>
      <xdr:spPr>
        <a:xfrm>
          <a:off x="2949388" y="80683"/>
          <a:ext cx="2931459" cy="1344704"/>
        </a:xfrm>
        <a:prstGeom prst="roundRect">
          <a:avLst/>
        </a:prstGeom>
        <a:solidFill>
          <a:srgbClr val="FB500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200">
              <a:solidFill>
                <a:schemeClr val="bg1"/>
              </a:solidFill>
            </a:rPr>
            <a:t>ANDREA DE SANTIS</a:t>
          </a:r>
        </a:p>
        <a:p>
          <a:pPr algn="l"/>
          <a:endParaRPr lang="it-IT" sz="1200">
            <a:solidFill>
              <a:schemeClr val="bg1"/>
            </a:solidFill>
          </a:endParaRPr>
        </a:p>
        <a:p>
          <a:pPr algn="l"/>
          <a:r>
            <a:rPr lang="it-IT" sz="1100">
              <a:solidFill>
                <a:schemeClr val="bg1"/>
              </a:solidFill>
            </a:rPr>
            <a:t>TEL. 3887588747</a:t>
          </a:r>
        </a:p>
        <a:p>
          <a:pPr algn="l"/>
          <a:r>
            <a:rPr lang="it-IT" sz="1100">
              <a:solidFill>
                <a:schemeClr val="bg1"/>
              </a:solidFill>
            </a:rPr>
            <a:t>EMAIL:</a:t>
          </a:r>
          <a:r>
            <a:rPr lang="it-IT" sz="1100" baseline="0">
              <a:solidFill>
                <a:schemeClr val="bg1"/>
              </a:solidFill>
            </a:rPr>
            <a:t> </a:t>
          </a:r>
          <a:r>
            <a:rPr lang="it-IT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partner.desantis</a:t>
          </a:r>
          <a:r>
            <a:rPr lang="it-IT" sz="1100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@e-pop.it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Via dei mille, 20 - 73025 Martano (LE)</a:t>
          </a:r>
        </a:p>
        <a:p>
          <a:pPr algn="l"/>
          <a:r>
            <a:rPr lang="it-IT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Numero verde: 800086521</a:t>
          </a:r>
          <a:endParaRPr lang="it-IT" sz="1100" u="sng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it-IT" sz="1100" baseline="0">
            <a:solidFill>
              <a:schemeClr val="bg1"/>
            </a:solidFill>
          </a:endParaRPr>
        </a:p>
        <a:p>
          <a:pPr algn="l"/>
          <a:endParaRPr lang="it-IT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542141</xdr:colOff>
      <xdr:row>7</xdr:row>
      <xdr:rowOff>37651</xdr:rowOff>
    </xdr:to>
    <xdr:pic>
      <xdr:nvPicPr>
        <xdr:cNvPr id="4" name="Elemento grafico 1">
          <a:extLst>
            <a:ext uri="{FF2B5EF4-FFF2-40B4-BE49-F238E27FC236}">
              <a16:creationId xmlns:a16="http://schemas.microsoft.com/office/drawing/2014/main" id="{E141A988-AFF2-9F98-FCC2-353B80E1B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2702635" cy="1292710"/>
        </a:xfrm>
        <a:prstGeom prst="rect">
          <a:avLst/>
        </a:prstGeom>
      </xdr:spPr>
    </xdr:pic>
    <xdr:clientData/>
  </xdr:twoCellAnchor>
  <xdr:twoCellAnchor editAs="oneCell">
    <xdr:from>
      <xdr:col>0</xdr:col>
      <xdr:colOff>80682</xdr:colOff>
      <xdr:row>6</xdr:row>
      <xdr:rowOff>143436</xdr:rowOff>
    </xdr:from>
    <xdr:to>
      <xdr:col>0</xdr:col>
      <xdr:colOff>636413</xdr:colOff>
      <xdr:row>9</xdr:row>
      <xdr:rowOff>143435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FCF1E0F0-DEAF-4D24-8447-F678502CD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" y="1240716"/>
          <a:ext cx="555731" cy="548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80E7-06A3-43BB-B1B7-D531505CF1C1}">
  <sheetPr codeName="Foglio1"/>
  <dimension ref="A3:B7"/>
  <sheetViews>
    <sheetView workbookViewId="0">
      <selection activeCell="C21" sqref="C21"/>
    </sheetView>
  </sheetViews>
  <sheetFormatPr defaultRowHeight="14.4" x14ac:dyDescent="0.3"/>
  <cols>
    <col min="1" max="1" width="26.88671875" customWidth="1"/>
  </cols>
  <sheetData>
    <row r="3" spans="1:2" x14ac:dyDescent="0.3">
      <c r="A3" t="s">
        <v>46</v>
      </c>
    </row>
    <row r="4" spans="1:2" x14ac:dyDescent="0.3">
      <c r="B4">
        <v>7.6302000000000003</v>
      </c>
    </row>
    <row r="5" spans="1:2" x14ac:dyDescent="0.3">
      <c r="B5">
        <v>6.7709000000000001</v>
      </c>
    </row>
    <row r="6" spans="1:2" x14ac:dyDescent="0.3">
      <c r="B6" s="6">
        <v>0.32140000000000002</v>
      </c>
    </row>
    <row r="7" spans="1:2" x14ac:dyDescent="0.3">
      <c r="B7">
        <v>1.2554000000000001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9797-FE6E-41B0-9C44-E5C447100767}">
  <dimension ref="A12:J142"/>
  <sheetViews>
    <sheetView tabSelected="1" topLeftCell="A47" zoomScale="147" zoomScaleNormal="100" workbookViewId="0">
      <selection activeCell="I60" sqref="I60"/>
    </sheetView>
  </sheetViews>
  <sheetFormatPr defaultRowHeight="14.4" x14ac:dyDescent="0.3"/>
  <cols>
    <col min="1" max="1" width="31.5546875" customWidth="1"/>
    <col min="2" max="2" width="9.77734375" customWidth="1"/>
    <col min="3" max="3" width="11.77734375" customWidth="1"/>
    <col min="4" max="4" width="13.33203125" customWidth="1"/>
    <col min="5" max="6" width="9.77734375" customWidth="1"/>
  </cols>
  <sheetData>
    <row r="12" spans="3:6" ht="15" thickBot="1" x14ac:dyDescent="0.35"/>
    <row r="13" spans="3:6" ht="15" thickBot="1" x14ac:dyDescent="0.35">
      <c r="C13" s="32"/>
      <c r="D13" s="33"/>
      <c r="E13" s="32"/>
      <c r="F13" s="34"/>
    </row>
    <row r="14" spans="3:6" ht="15" thickBot="1" x14ac:dyDescent="0.35">
      <c r="C14" s="32" t="s">
        <v>0</v>
      </c>
      <c r="D14" s="33"/>
      <c r="E14" s="35"/>
      <c r="F14" s="34"/>
    </row>
    <row r="15" spans="3:6" ht="15" thickBot="1" x14ac:dyDescent="0.35">
      <c r="C15" s="32" t="s">
        <v>1</v>
      </c>
      <c r="D15" s="33"/>
      <c r="E15" s="32" t="s">
        <v>63</v>
      </c>
      <c r="F15" s="34"/>
    </row>
    <row r="16" spans="3:6" ht="15" thickBot="1" x14ac:dyDescent="0.35">
      <c r="C16" s="32" t="s">
        <v>2</v>
      </c>
      <c r="D16" s="33"/>
      <c r="E16" s="36">
        <f>C29</f>
        <v>107.97474600000001</v>
      </c>
      <c r="F16" s="34"/>
    </row>
    <row r="21" spans="1:6" ht="18" x14ac:dyDescent="0.35">
      <c r="A21" s="1" t="s">
        <v>3</v>
      </c>
      <c r="B21" s="1"/>
      <c r="C21" s="1"/>
    </row>
    <row r="22" spans="1:6" ht="18" x14ac:dyDescent="0.35">
      <c r="A22" s="16" t="s">
        <v>4</v>
      </c>
      <c r="B22" s="17"/>
      <c r="C22" s="18" t="s">
        <v>5</v>
      </c>
      <c r="D22" s="19"/>
      <c r="E22" s="18" t="s">
        <v>6</v>
      </c>
      <c r="F22" s="17"/>
    </row>
    <row r="23" spans="1:6" x14ac:dyDescent="0.3">
      <c r="A23" s="25" t="s">
        <v>7</v>
      </c>
      <c r="B23" s="26"/>
      <c r="C23" s="27">
        <f>F69+F121</f>
        <v>62.430413999999999</v>
      </c>
      <c r="D23" s="26"/>
      <c r="E23" s="28">
        <f>C23/$C$29</f>
        <v>0.5781945900571972</v>
      </c>
      <c r="F23" s="26"/>
    </row>
    <row r="24" spans="1:6" x14ac:dyDescent="0.3">
      <c r="A24" s="26" t="s">
        <v>8</v>
      </c>
      <c r="B24" s="26"/>
      <c r="C24" s="27">
        <f>F74+F79+F126+F131</f>
        <v>31.460846</v>
      </c>
      <c r="D24" s="26"/>
      <c r="E24" s="28">
        <f t="shared" ref="E24:E29" si="0">C24/$C$29</f>
        <v>0.29137226217693529</v>
      </c>
      <c r="F24" s="26"/>
    </row>
    <row r="25" spans="1:6" x14ac:dyDescent="0.3">
      <c r="A25" s="26" t="s">
        <v>9</v>
      </c>
      <c r="B25" s="26"/>
      <c r="C25" s="27">
        <f>F82+F134</f>
        <v>4.2675999999999998</v>
      </c>
      <c r="D25" s="26"/>
      <c r="E25" s="28">
        <f t="shared" si="0"/>
        <v>3.9524056856776485E-2</v>
      </c>
      <c r="F25" s="26"/>
    </row>
    <row r="26" spans="1:6" x14ac:dyDescent="0.3">
      <c r="A26" s="26" t="s">
        <v>64</v>
      </c>
      <c r="B26" s="26"/>
      <c r="C26" s="29">
        <f>F135</f>
        <v>0</v>
      </c>
      <c r="D26" s="26"/>
      <c r="E26" s="28">
        <f t="shared" si="0"/>
        <v>0</v>
      </c>
      <c r="F26" s="26"/>
    </row>
    <row r="27" spans="1:6" x14ac:dyDescent="0.3">
      <c r="A27" s="26" t="s">
        <v>11</v>
      </c>
      <c r="B27" s="26"/>
      <c r="C27" s="29">
        <f>F138</f>
        <v>98.158860000000004</v>
      </c>
      <c r="D27" s="26"/>
      <c r="E27" s="28"/>
      <c r="F27" s="26"/>
    </row>
    <row r="28" spans="1:6" x14ac:dyDescent="0.3">
      <c r="A28" s="26" t="s">
        <v>12</v>
      </c>
      <c r="B28" s="26"/>
      <c r="C28" s="27">
        <f>F137</f>
        <v>9.8158860000000008</v>
      </c>
      <c r="D28" s="26"/>
      <c r="E28" s="28">
        <f t="shared" si="0"/>
        <v>9.0909090909090912E-2</v>
      </c>
      <c r="F28" s="26"/>
    </row>
    <row r="29" spans="1:6" x14ac:dyDescent="0.3">
      <c r="A29" s="30" t="s">
        <v>13</v>
      </c>
      <c r="B29" s="30"/>
      <c r="C29" s="31">
        <f>F139</f>
        <v>107.97474600000001</v>
      </c>
      <c r="D29" s="30"/>
      <c r="E29" s="28">
        <f t="shared" si="0"/>
        <v>1</v>
      </c>
      <c r="F29" s="30"/>
    </row>
    <row r="31" spans="1:6" x14ac:dyDescent="0.3">
      <c r="B31" s="2"/>
      <c r="C31" s="2"/>
      <c r="D31" s="2"/>
      <c r="E31" s="2"/>
    </row>
    <row r="32" spans="1:6" ht="18" x14ac:dyDescent="0.35">
      <c r="A32" s="20" t="s">
        <v>14</v>
      </c>
      <c r="B32" s="21"/>
      <c r="C32" s="21"/>
      <c r="D32" s="21"/>
      <c r="E32" s="22" t="s">
        <v>5</v>
      </c>
      <c r="F32" s="20"/>
    </row>
    <row r="33" spans="1:6" x14ac:dyDescent="0.3">
      <c r="A33" s="25" t="s">
        <v>15</v>
      </c>
      <c r="B33" s="26"/>
      <c r="C33" s="26"/>
      <c r="D33" s="26"/>
      <c r="E33" s="37">
        <v>137.06</v>
      </c>
      <c r="F33" s="26"/>
    </row>
    <row r="34" spans="1:6" x14ac:dyDescent="0.3">
      <c r="A34" s="26" t="s">
        <v>54</v>
      </c>
      <c r="B34" s="26"/>
      <c r="C34" s="26"/>
      <c r="D34" s="26"/>
      <c r="E34" s="29">
        <f>E33-C29</f>
        <v>29.085253999999992</v>
      </c>
      <c r="F34" s="26"/>
    </row>
    <row r="35" spans="1:6" x14ac:dyDescent="0.3">
      <c r="A35" s="26" t="s">
        <v>16</v>
      </c>
      <c r="B35" s="26"/>
      <c r="C35" s="26"/>
      <c r="D35" s="26"/>
      <c r="E35" s="29">
        <f>E34*6</f>
        <v>174.51152399999995</v>
      </c>
      <c r="F35" s="26"/>
    </row>
    <row r="47" spans="1:6" x14ac:dyDescent="0.3">
      <c r="A47" s="3">
        <f ca="1">TODAY()</f>
        <v>45957</v>
      </c>
      <c r="D47" s="4"/>
    </row>
    <row r="50" spans="1:10" ht="18" x14ac:dyDescent="0.35">
      <c r="A50" s="47" t="s">
        <v>56</v>
      </c>
      <c r="B50" s="47"/>
      <c r="C50" s="47"/>
      <c r="D50" s="47"/>
      <c r="E50" s="47"/>
      <c r="F50" s="47"/>
    </row>
    <row r="51" spans="1:10" x14ac:dyDescent="0.3">
      <c r="A51" s="38"/>
      <c r="B51" s="38" t="s">
        <v>17</v>
      </c>
      <c r="C51" s="38" t="s">
        <v>18</v>
      </c>
      <c r="D51" s="38" t="s">
        <v>19</v>
      </c>
      <c r="E51" s="38" t="s">
        <v>20</v>
      </c>
      <c r="F51" s="38" t="s">
        <v>21</v>
      </c>
    </row>
    <row r="52" spans="1:10" x14ac:dyDescent="0.3">
      <c r="A52" t="s">
        <v>22</v>
      </c>
      <c r="B52" t="s">
        <v>60</v>
      </c>
      <c r="C52" s="46">
        <v>20</v>
      </c>
      <c r="D52">
        <v>1</v>
      </c>
      <c r="E52">
        <v>10</v>
      </c>
      <c r="F52" s="5">
        <f>C52*D52</f>
        <v>20</v>
      </c>
    </row>
    <row r="53" spans="1:10" x14ac:dyDescent="0.3">
      <c r="A53" t="s">
        <v>23</v>
      </c>
      <c r="B53" t="s">
        <v>59</v>
      </c>
      <c r="C53" s="6">
        <v>0.109858</v>
      </c>
      <c r="D53">
        <v>1</v>
      </c>
      <c r="E53">
        <v>10</v>
      </c>
      <c r="F53" s="5">
        <f>C53*D53</f>
        <v>0.109858</v>
      </c>
      <c r="I53" t="s">
        <v>73</v>
      </c>
    </row>
    <row r="54" spans="1:10" x14ac:dyDescent="0.3">
      <c r="A54" t="s">
        <v>24</v>
      </c>
      <c r="B54" t="s">
        <v>26</v>
      </c>
      <c r="C54" s="6">
        <v>0.13378000000000001</v>
      </c>
      <c r="D54" s="49">
        <v>24</v>
      </c>
      <c r="E54">
        <v>10</v>
      </c>
      <c r="F54" s="5">
        <f t="shared" ref="F54:F66" si="1">C54*D54</f>
        <v>3.2107200000000002</v>
      </c>
    </row>
    <row r="55" spans="1:10" x14ac:dyDescent="0.3">
      <c r="A55" t="s">
        <v>25</v>
      </c>
      <c r="B55" t="s">
        <v>26</v>
      </c>
      <c r="C55" s="6">
        <v>0.13663</v>
      </c>
      <c r="D55" s="49">
        <v>37</v>
      </c>
      <c r="E55">
        <v>10</v>
      </c>
      <c r="F55" s="5">
        <f t="shared" si="1"/>
        <v>5.0553100000000004</v>
      </c>
    </row>
    <row r="56" spans="1:10" x14ac:dyDescent="0.3">
      <c r="A56" t="s">
        <v>27</v>
      </c>
      <c r="B56" t="s">
        <v>26</v>
      </c>
      <c r="C56" s="6">
        <v>0.11527</v>
      </c>
      <c r="D56" s="49">
        <v>33</v>
      </c>
      <c r="E56">
        <v>10</v>
      </c>
      <c r="F56" s="5">
        <f t="shared" si="1"/>
        <v>3.8039100000000001</v>
      </c>
    </row>
    <row r="57" spans="1:10" x14ac:dyDescent="0.3">
      <c r="A57" t="s">
        <v>28</v>
      </c>
      <c r="B57" t="s">
        <v>26</v>
      </c>
      <c r="C57" s="6">
        <f>C54</f>
        <v>0.13378000000000001</v>
      </c>
      <c r="D57">
        <f xml:space="preserve"> ROUND(D54*10/100,0)</f>
        <v>2</v>
      </c>
      <c r="E57">
        <v>10</v>
      </c>
      <c r="F57" s="5">
        <f t="shared" si="1"/>
        <v>0.26756000000000002</v>
      </c>
      <c r="J57" t="s">
        <v>76</v>
      </c>
    </row>
    <row r="58" spans="1:10" x14ac:dyDescent="0.3">
      <c r="A58" t="s">
        <v>29</v>
      </c>
      <c r="B58" t="s">
        <v>30</v>
      </c>
      <c r="C58" s="6">
        <f>C55</f>
        <v>0.13663</v>
      </c>
      <c r="D58">
        <f xml:space="preserve"> ROUND(D55*10/100,0)</f>
        <v>4</v>
      </c>
      <c r="E58">
        <v>10</v>
      </c>
      <c r="F58" s="5">
        <f t="shared" si="1"/>
        <v>0.54652000000000001</v>
      </c>
    </row>
    <row r="59" spans="1:10" x14ac:dyDescent="0.3">
      <c r="A59" t="s">
        <v>31</v>
      </c>
      <c r="B59" t="s">
        <v>26</v>
      </c>
      <c r="C59" s="6">
        <f>C56</f>
        <v>0.11527</v>
      </c>
      <c r="D59">
        <f xml:space="preserve"> ROUND(D56*10/100,0)</f>
        <v>3</v>
      </c>
      <c r="E59">
        <v>10</v>
      </c>
      <c r="F59" s="5">
        <f t="shared" si="1"/>
        <v>0.34581000000000001</v>
      </c>
    </row>
    <row r="60" spans="1:10" ht="28.8" x14ac:dyDescent="0.3">
      <c r="A60" s="13" t="s">
        <v>66</v>
      </c>
      <c r="B60" t="s">
        <v>26</v>
      </c>
      <c r="C60">
        <v>8.9949999999999995E-3</v>
      </c>
      <c r="D60">
        <f>D54+D55+D56+D57+D58+D59</f>
        <v>103</v>
      </c>
      <c r="E60">
        <v>10</v>
      </c>
      <c r="F60" s="5">
        <f t="shared" si="1"/>
        <v>0.926485</v>
      </c>
    </row>
    <row r="61" spans="1:10" x14ac:dyDescent="0.3">
      <c r="A61" t="s">
        <v>68</v>
      </c>
      <c r="B61" t="s">
        <v>26</v>
      </c>
      <c r="C61">
        <v>5.5800000000000001E-4</v>
      </c>
      <c r="D61">
        <f>D60</f>
        <v>103</v>
      </c>
      <c r="E61">
        <v>10</v>
      </c>
      <c r="F61" s="5">
        <f t="shared" si="1"/>
        <v>5.7474000000000004E-2</v>
      </c>
    </row>
    <row r="62" spans="1:10" x14ac:dyDescent="0.3">
      <c r="A62" t="s">
        <v>67</v>
      </c>
      <c r="B62" t="s">
        <v>26</v>
      </c>
      <c r="C62">
        <v>8.5599999999999999E-4</v>
      </c>
      <c r="D62">
        <f t="shared" ref="D62:D65" si="2">D61</f>
        <v>103</v>
      </c>
      <c r="E62">
        <v>10</v>
      </c>
      <c r="F62" s="5">
        <f t="shared" si="1"/>
        <v>8.8167999999999996E-2</v>
      </c>
    </row>
    <row r="63" spans="1:10" x14ac:dyDescent="0.3">
      <c r="A63" t="s">
        <v>69</v>
      </c>
      <c r="B63" t="s">
        <v>26</v>
      </c>
      <c r="C63">
        <v>1.9530000000000001E-3</v>
      </c>
      <c r="D63">
        <f t="shared" si="2"/>
        <v>103</v>
      </c>
      <c r="E63">
        <v>10</v>
      </c>
      <c r="F63" s="5">
        <f t="shared" si="1"/>
        <v>0.201159</v>
      </c>
    </row>
    <row r="64" spans="1:10" x14ac:dyDescent="0.3">
      <c r="A64" t="s">
        <v>70</v>
      </c>
      <c r="B64" t="s">
        <v>26</v>
      </c>
      <c r="C64" s="6">
        <v>4.339E-3</v>
      </c>
      <c r="D64">
        <f t="shared" si="2"/>
        <v>103</v>
      </c>
      <c r="E64">
        <v>10</v>
      </c>
      <c r="F64" s="5">
        <f>C64*D64</f>
        <v>0.44691700000000001</v>
      </c>
    </row>
    <row r="65" spans="1:6" x14ac:dyDescent="0.3">
      <c r="A65" t="s">
        <v>71</v>
      </c>
      <c r="B65" t="s">
        <v>37</v>
      </c>
      <c r="C65" s="6">
        <v>4.4000000000000003E-3</v>
      </c>
      <c r="D65">
        <f t="shared" si="2"/>
        <v>103</v>
      </c>
      <c r="E65">
        <v>10</v>
      </c>
      <c r="F65" s="5">
        <f t="shared" si="1"/>
        <v>0.45320000000000005</v>
      </c>
    </row>
    <row r="66" spans="1:6" ht="28.8" x14ac:dyDescent="0.3">
      <c r="A66" s="13" t="s">
        <v>72</v>
      </c>
      <c r="B66" t="s">
        <v>26</v>
      </c>
      <c r="C66" s="6">
        <v>4.0000000000000001E-3</v>
      </c>
      <c r="D66">
        <f>D63</f>
        <v>103</v>
      </c>
      <c r="E66">
        <v>10</v>
      </c>
      <c r="F66" s="5">
        <f t="shared" si="1"/>
        <v>0.41200000000000003</v>
      </c>
    </row>
    <row r="67" spans="1:6" x14ac:dyDescent="0.3">
      <c r="A67" s="13"/>
      <c r="C67" s="6"/>
      <c r="F67" s="5"/>
    </row>
    <row r="68" spans="1:6" x14ac:dyDescent="0.3">
      <c r="C68" s="6"/>
      <c r="F68" s="5"/>
    </row>
    <row r="69" spans="1:6" x14ac:dyDescent="0.3">
      <c r="A69" s="38" t="s">
        <v>39</v>
      </c>
      <c r="B69" s="38"/>
      <c r="C69" s="38"/>
      <c r="D69" s="38"/>
      <c r="E69" s="38"/>
      <c r="F69" s="39">
        <f>SUM(F52:F68)</f>
        <v>35.925091000000002</v>
      </c>
    </row>
    <row r="71" spans="1:6" x14ac:dyDescent="0.3">
      <c r="A71" t="s">
        <v>40</v>
      </c>
      <c r="B71" t="s">
        <v>41</v>
      </c>
      <c r="C71" s="6">
        <v>1.8665670000000001</v>
      </c>
      <c r="D71" s="49">
        <v>3</v>
      </c>
      <c r="E71">
        <v>10</v>
      </c>
      <c r="F71" s="5">
        <f>C71*D71</f>
        <v>5.5997010000000005</v>
      </c>
    </row>
    <row r="72" spans="1:6" x14ac:dyDescent="0.3">
      <c r="A72" t="s">
        <v>42</v>
      </c>
      <c r="B72" t="s">
        <v>43</v>
      </c>
      <c r="C72" s="6">
        <v>1.84</v>
      </c>
      <c r="D72">
        <v>1</v>
      </c>
      <c r="E72">
        <v>10</v>
      </c>
      <c r="F72" s="5">
        <f>C72*D72</f>
        <v>1.84</v>
      </c>
    </row>
    <row r="73" spans="1:6" x14ac:dyDescent="0.3">
      <c r="A73" t="s">
        <v>44</v>
      </c>
      <c r="B73" t="s">
        <v>26</v>
      </c>
      <c r="C73" s="6">
        <v>1.2200000000000001E-2</v>
      </c>
      <c r="D73">
        <f>D54+D55+D56</f>
        <v>94</v>
      </c>
      <c r="E73">
        <v>10</v>
      </c>
      <c r="F73" s="5">
        <f>C73*D73</f>
        <v>1.1468</v>
      </c>
    </row>
    <row r="74" spans="1:6" x14ac:dyDescent="0.3">
      <c r="A74" s="38" t="s">
        <v>45</v>
      </c>
      <c r="B74" s="38"/>
      <c r="C74" s="38"/>
      <c r="D74" s="38"/>
      <c r="E74" s="38"/>
      <c r="F74" s="39">
        <f>SUM(F71:F73)</f>
        <v>8.5865010000000002</v>
      </c>
    </row>
    <row r="75" spans="1:6" x14ac:dyDescent="0.3">
      <c r="C75" s="6"/>
    </row>
    <row r="76" spans="1:6" x14ac:dyDescent="0.3">
      <c r="A76" t="s">
        <v>46</v>
      </c>
      <c r="B76" t="s">
        <v>43</v>
      </c>
      <c r="C76" s="50">
        <v>7.6302000000000003</v>
      </c>
      <c r="D76">
        <v>1</v>
      </c>
      <c r="E76">
        <v>10</v>
      </c>
      <c r="F76" s="5">
        <f>C76*D76</f>
        <v>7.6302000000000003</v>
      </c>
    </row>
    <row r="77" spans="1:6" x14ac:dyDescent="0.3">
      <c r="A77" t="s">
        <v>47</v>
      </c>
      <c r="B77" t="s">
        <v>26</v>
      </c>
      <c r="C77" s="6">
        <v>8.8280000000000008E-3</v>
      </c>
      <c r="D77">
        <f>D54+D55+D56</f>
        <v>94</v>
      </c>
      <c r="E77">
        <v>10</v>
      </c>
      <c r="F77" s="5">
        <f t="shared" ref="F77:F78" si="3">C77*D77</f>
        <v>0.82983200000000013</v>
      </c>
    </row>
    <row r="78" spans="1:6" x14ac:dyDescent="0.3">
      <c r="A78" t="s">
        <v>48</v>
      </c>
      <c r="B78" t="s">
        <v>26</v>
      </c>
      <c r="C78" s="6">
        <v>2.9808999999999999E-2</v>
      </c>
      <c r="D78">
        <f>D77</f>
        <v>94</v>
      </c>
      <c r="E78">
        <v>10</v>
      </c>
      <c r="F78" s="5">
        <f t="shared" si="3"/>
        <v>2.8020459999999998</v>
      </c>
    </row>
    <row r="79" spans="1:6" x14ac:dyDescent="0.3">
      <c r="A79" s="38" t="s">
        <v>49</v>
      </c>
      <c r="B79" s="38"/>
      <c r="C79" s="38"/>
      <c r="D79" s="38"/>
      <c r="E79" s="38"/>
      <c r="F79" s="39">
        <f>SUM(F76:F78)</f>
        <v>11.262077999999999</v>
      </c>
    </row>
    <row r="81" spans="1:6" x14ac:dyDescent="0.3">
      <c r="A81" t="s">
        <v>50</v>
      </c>
      <c r="B81" t="s">
        <v>26</v>
      </c>
      <c r="C81" s="6">
        <v>2.2700000000000001E-2</v>
      </c>
      <c r="D81">
        <f>D78</f>
        <v>94</v>
      </c>
      <c r="E81">
        <v>10</v>
      </c>
      <c r="F81" s="5">
        <f t="shared" ref="F81" si="4">C81*D81</f>
        <v>2.1337999999999999</v>
      </c>
    </row>
    <row r="82" spans="1:6" x14ac:dyDescent="0.3">
      <c r="A82" s="38" t="s">
        <v>51</v>
      </c>
      <c r="B82" s="38"/>
      <c r="C82" s="38"/>
      <c r="D82" s="38"/>
      <c r="E82" s="38"/>
      <c r="F82" s="39">
        <f>SUM(F81)</f>
        <v>2.1337999999999999</v>
      </c>
    </row>
    <row r="84" spans="1:6" x14ac:dyDescent="0.3">
      <c r="B84" s="10"/>
      <c r="C84" s="10"/>
      <c r="D84" s="10"/>
      <c r="E84" s="10"/>
      <c r="F84" s="11"/>
    </row>
    <row r="85" spans="1:6" x14ac:dyDescent="0.3">
      <c r="A85" s="14" t="s">
        <v>55</v>
      </c>
      <c r="B85" s="7"/>
      <c r="C85" s="7"/>
      <c r="D85" s="7"/>
      <c r="E85" s="7"/>
      <c r="F85" s="7"/>
    </row>
    <row r="86" spans="1:6" x14ac:dyDescent="0.3">
      <c r="A86" s="14" t="s">
        <v>13</v>
      </c>
      <c r="B86" s="14"/>
      <c r="C86" s="14"/>
      <c r="D86" s="14"/>
      <c r="E86" s="14"/>
      <c r="F86" s="15">
        <f>F69+F74+F79+F82+F84</f>
        <v>57.907469999999996</v>
      </c>
    </row>
    <row r="95" spans="1:6" x14ac:dyDescent="0.3">
      <c r="A95" s="3">
        <f ca="1">TODAY()</f>
        <v>45957</v>
      </c>
      <c r="D95" s="4"/>
    </row>
    <row r="100" spans="1:6" x14ac:dyDescent="0.3">
      <c r="A100" s="3"/>
      <c r="D100" s="4"/>
    </row>
    <row r="102" spans="1:6" ht="18" x14ac:dyDescent="0.35">
      <c r="A102" s="47" t="s">
        <v>65</v>
      </c>
      <c r="B102" s="48"/>
      <c r="C102" s="48"/>
      <c r="D102" s="48"/>
      <c r="E102" s="48"/>
      <c r="F102" s="48"/>
    </row>
    <row r="103" spans="1:6" x14ac:dyDescent="0.3">
      <c r="A103" s="38"/>
      <c r="B103" s="38" t="s">
        <v>17</v>
      </c>
      <c r="C103" s="38" t="s">
        <v>18</v>
      </c>
      <c r="D103" s="38" t="s">
        <v>19</v>
      </c>
      <c r="E103" s="38" t="s">
        <v>20</v>
      </c>
      <c r="F103" s="38" t="s">
        <v>21</v>
      </c>
    </row>
    <row r="104" spans="1:6" x14ac:dyDescent="0.3">
      <c r="A104" t="s">
        <v>22</v>
      </c>
      <c r="B104" t="s">
        <v>60</v>
      </c>
      <c r="C104" s="6">
        <v>8.9499999999999993</v>
      </c>
      <c r="D104">
        <v>1</v>
      </c>
      <c r="E104">
        <v>10</v>
      </c>
      <c r="F104" s="5">
        <f>C104*D104</f>
        <v>8.9499999999999993</v>
      </c>
    </row>
    <row r="105" spans="1:6" x14ac:dyDescent="0.3">
      <c r="A105" t="s">
        <v>23</v>
      </c>
      <c r="B105" t="s">
        <v>59</v>
      </c>
      <c r="C105" s="6">
        <v>0.109858</v>
      </c>
      <c r="D105">
        <v>1</v>
      </c>
      <c r="E105">
        <v>10</v>
      </c>
      <c r="F105" s="5">
        <f>C105</f>
        <v>0.109858</v>
      </c>
    </row>
    <row r="106" spans="1:6" x14ac:dyDescent="0.3">
      <c r="A106" t="s">
        <v>24</v>
      </c>
      <c r="B106" t="s">
        <v>26</v>
      </c>
      <c r="C106" s="6">
        <v>0.16052</v>
      </c>
      <c r="D106" s="49">
        <v>24</v>
      </c>
      <c r="E106">
        <v>10</v>
      </c>
      <c r="F106" s="5">
        <f t="shared" ref="F106:F120" si="5">C106*D106</f>
        <v>3.8524799999999999</v>
      </c>
    </row>
    <row r="107" spans="1:6" x14ac:dyDescent="0.3">
      <c r="A107" t="s">
        <v>25</v>
      </c>
      <c r="B107" t="s">
        <v>26</v>
      </c>
      <c r="C107" s="6">
        <v>0.15381</v>
      </c>
      <c r="D107" s="49">
        <v>37</v>
      </c>
      <c r="E107">
        <v>10</v>
      </c>
      <c r="F107" s="5">
        <f t="shared" si="5"/>
        <v>5.6909700000000001</v>
      </c>
    </row>
    <row r="108" spans="1:6" x14ac:dyDescent="0.3">
      <c r="A108" t="s">
        <v>27</v>
      </c>
      <c r="B108" t="s">
        <v>26</v>
      </c>
      <c r="C108" s="6">
        <v>0.13074</v>
      </c>
      <c r="D108" s="49">
        <v>33</v>
      </c>
      <c r="E108">
        <v>10</v>
      </c>
      <c r="F108" s="5">
        <f t="shared" si="5"/>
        <v>4.3144200000000001</v>
      </c>
    </row>
    <row r="109" spans="1:6" x14ac:dyDescent="0.3">
      <c r="A109" t="s">
        <v>28</v>
      </c>
      <c r="B109" t="s">
        <v>26</v>
      </c>
      <c r="C109" s="6">
        <f>C106</f>
        <v>0.16052</v>
      </c>
      <c r="D109">
        <f xml:space="preserve"> ROUND(D106*10/100,0)</f>
        <v>2</v>
      </c>
      <c r="E109">
        <v>10</v>
      </c>
      <c r="F109" s="5">
        <f t="shared" si="5"/>
        <v>0.32103999999999999</v>
      </c>
    </row>
    <row r="110" spans="1:6" x14ac:dyDescent="0.3">
      <c r="A110" t="s">
        <v>29</v>
      </c>
      <c r="B110" t="s">
        <v>30</v>
      </c>
      <c r="C110" s="6">
        <f>C107</f>
        <v>0.15381</v>
      </c>
      <c r="D110">
        <f xml:space="preserve"> ROUND(D107*10/100,0)</f>
        <v>4</v>
      </c>
      <c r="E110">
        <v>10</v>
      </c>
      <c r="F110" s="5">
        <f t="shared" si="5"/>
        <v>0.61524000000000001</v>
      </c>
    </row>
    <row r="111" spans="1:6" x14ac:dyDescent="0.3">
      <c r="A111" t="s">
        <v>31</v>
      </c>
      <c r="B111" t="s">
        <v>26</v>
      </c>
      <c r="C111" s="6">
        <f>C108</f>
        <v>0.13074</v>
      </c>
      <c r="D111">
        <f xml:space="preserve"> ROUND(D108*10/100,0)</f>
        <v>3</v>
      </c>
      <c r="E111">
        <v>10</v>
      </c>
      <c r="F111" s="5">
        <f t="shared" si="5"/>
        <v>0.39222000000000001</v>
      </c>
    </row>
    <row r="112" spans="1:6" x14ac:dyDescent="0.3">
      <c r="A112" t="s">
        <v>32</v>
      </c>
      <c r="B112" t="s">
        <v>26</v>
      </c>
      <c r="C112">
        <v>1.9530000000000001E-3</v>
      </c>
      <c r="D112">
        <f>D106+D107+D108+D109+D110+D111</f>
        <v>103</v>
      </c>
      <c r="E112">
        <v>10</v>
      </c>
      <c r="F112" s="5">
        <f t="shared" si="5"/>
        <v>0.201159</v>
      </c>
    </row>
    <row r="113" spans="1:6" x14ac:dyDescent="0.3">
      <c r="A113" t="s">
        <v>33</v>
      </c>
      <c r="B113" t="s">
        <v>26</v>
      </c>
      <c r="C113">
        <v>2.0479999999999999E-3</v>
      </c>
      <c r="D113">
        <f>D112</f>
        <v>103</v>
      </c>
      <c r="E113">
        <v>10</v>
      </c>
      <c r="F113" s="5">
        <f t="shared" si="5"/>
        <v>0.21094399999999999</v>
      </c>
    </row>
    <row r="114" spans="1:6" x14ac:dyDescent="0.3">
      <c r="A114" t="s">
        <v>34</v>
      </c>
      <c r="B114" t="s">
        <v>26</v>
      </c>
      <c r="C114">
        <v>5.5800000000000001E-4</v>
      </c>
      <c r="D114">
        <f t="shared" ref="D114:D116" si="6">D113</f>
        <v>103</v>
      </c>
      <c r="E114">
        <v>10</v>
      </c>
      <c r="F114" s="5">
        <f t="shared" si="5"/>
        <v>5.7474000000000004E-2</v>
      </c>
    </row>
    <row r="115" spans="1:6" x14ac:dyDescent="0.3">
      <c r="A115" t="s">
        <v>35</v>
      </c>
      <c r="B115" t="s">
        <v>26</v>
      </c>
      <c r="C115">
        <v>8.5599999999999999E-4</v>
      </c>
      <c r="D115">
        <f t="shared" si="6"/>
        <v>103</v>
      </c>
      <c r="E115">
        <v>10</v>
      </c>
      <c r="F115" s="5">
        <f t="shared" si="5"/>
        <v>8.8167999999999996E-2</v>
      </c>
    </row>
    <row r="116" spans="1:6" x14ac:dyDescent="0.3">
      <c r="A116" t="s">
        <v>61</v>
      </c>
      <c r="B116" t="s">
        <v>26</v>
      </c>
      <c r="C116" s="6">
        <v>5.1999999999999995E-4</v>
      </c>
      <c r="D116">
        <f t="shared" si="6"/>
        <v>103</v>
      </c>
      <c r="E116">
        <v>10</v>
      </c>
      <c r="F116" s="5">
        <f>C116*D116</f>
        <v>5.3559999999999997E-2</v>
      </c>
    </row>
    <row r="117" spans="1:6" x14ac:dyDescent="0.3">
      <c r="A117" t="s">
        <v>36</v>
      </c>
      <c r="B117" t="s">
        <v>37</v>
      </c>
      <c r="C117" s="6">
        <v>7.0000000000000001E-3</v>
      </c>
      <c r="D117">
        <v>1</v>
      </c>
      <c r="E117">
        <v>10</v>
      </c>
      <c r="F117" s="5">
        <f t="shared" si="5"/>
        <v>7.0000000000000001E-3</v>
      </c>
    </row>
    <row r="118" spans="1:6" ht="28.8" x14ac:dyDescent="0.3">
      <c r="A118" s="13" t="s">
        <v>62</v>
      </c>
      <c r="B118" t="s">
        <v>26</v>
      </c>
      <c r="C118" s="6">
        <v>0.01</v>
      </c>
      <c r="D118">
        <f>D115</f>
        <v>103</v>
      </c>
      <c r="E118">
        <v>10</v>
      </c>
      <c r="F118" s="5">
        <f t="shared" si="5"/>
        <v>1.03</v>
      </c>
    </row>
    <row r="119" spans="1:6" x14ac:dyDescent="0.3">
      <c r="A119" s="13" t="s">
        <v>58</v>
      </c>
      <c r="B119" t="s">
        <v>26</v>
      </c>
      <c r="C119" s="6">
        <v>5.0000000000000001E-3</v>
      </c>
      <c r="D119">
        <f>D113</f>
        <v>103</v>
      </c>
      <c r="E119">
        <v>10</v>
      </c>
      <c r="F119" s="5">
        <f>D119*C119</f>
        <v>0.51500000000000001</v>
      </c>
    </row>
    <row r="120" spans="1:6" x14ac:dyDescent="0.3">
      <c r="A120" t="s">
        <v>38</v>
      </c>
      <c r="B120" t="s">
        <v>26</v>
      </c>
      <c r="C120" s="6">
        <v>9.3000000000000005E-4</v>
      </c>
      <c r="D120">
        <f>D118</f>
        <v>103</v>
      </c>
      <c r="E120">
        <v>10</v>
      </c>
      <c r="F120" s="5">
        <f t="shared" si="5"/>
        <v>9.579E-2</v>
      </c>
    </row>
    <row r="121" spans="1:6" x14ac:dyDescent="0.3">
      <c r="A121" s="38" t="s">
        <v>39</v>
      </c>
      <c r="B121" s="38"/>
      <c r="C121" s="38"/>
      <c r="D121" s="38"/>
      <c r="E121" s="38"/>
      <c r="F121" s="39">
        <f>SUM(F104:F120)</f>
        <v>26.505323000000001</v>
      </c>
    </row>
    <row r="123" spans="1:6" x14ac:dyDescent="0.3">
      <c r="A123" t="s">
        <v>40</v>
      </c>
      <c r="B123" t="s">
        <v>41</v>
      </c>
      <c r="C123" s="6">
        <v>1.8665670000000001</v>
      </c>
      <c r="D123" s="49">
        <v>3</v>
      </c>
      <c r="E123">
        <v>10</v>
      </c>
      <c r="F123" s="5">
        <f>C123*D123</f>
        <v>5.5997010000000005</v>
      </c>
    </row>
    <row r="124" spans="1:6" x14ac:dyDescent="0.3">
      <c r="A124" t="s">
        <v>42</v>
      </c>
      <c r="B124" t="s">
        <v>43</v>
      </c>
      <c r="C124" s="6">
        <v>1.84</v>
      </c>
      <c r="D124">
        <v>1</v>
      </c>
      <c r="E124">
        <v>10</v>
      </c>
      <c r="F124" s="5">
        <f>C124*D124</f>
        <v>1.84</v>
      </c>
    </row>
    <row r="125" spans="1:6" x14ac:dyDescent="0.3">
      <c r="A125" t="s">
        <v>44</v>
      </c>
      <c r="B125" t="s">
        <v>26</v>
      </c>
      <c r="C125" s="6">
        <v>1.2200000000000001E-2</v>
      </c>
      <c r="D125">
        <f>D106+D107+D108</f>
        <v>94</v>
      </c>
      <c r="E125">
        <v>10</v>
      </c>
      <c r="F125" s="5">
        <f>C125*D125</f>
        <v>1.1468</v>
      </c>
    </row>
    <row r="126" spans="1:6" x14ac:dyDescent="0.3">
      <c r="A126" s="38" t="s">
        <v>45</v>
      </c>
      <c r="B126" s="38"/>
      <c r="C126" s="38"/>
      <c r="D126" s="38"/>
      <c r="E126" s="38"/>
      <c r="F126" s="39">
        <f>SUM(F123:F125)</f>
        <v>8.5865010000000002</v>
      </c>
    </row>
    <row r="127" spans="1:6" x14ac:dyDescent="0.3">
      <c r="C127" s="6"/>
    </row>
    <row r="128" spans="1:6" ht="28.8" x14ac:dyDescent="0.3">
      <c r="A128" s="13" t="s">
        <v>46</v>
      </c>
      <c r="B128" t="s">
        <v>43</v>
      </c>
      <c r="C128" s="50">
        <v>0</v>
      </c>
      <c r="D128">
        <v>1</v>
      </c>
      <c r="E128">
        <v>10</v>
      </c>
      <c r="F128" s="5">
        <f>C128*D128</f>
        <v>0</v>
      </c>
    </row>
    <row r="129" spans="1:7" ht="28.8" x14ac:dyDescent="0.3">
      <c r="A129" s="13" t="s">
        <v>47</v>
      </c>
      <c r="B129" t="s">
        <v>26</v>
      </c>
      <c r="C129" s="6">
        <v>2.8289999999999999E-3</v>
      </c>
      <c r="D129">
        <f>D106+D107+D108</f>
        <v>94</v>
      </c>
      <c r="E129">
        <v>10</v>
      </c>
      <c r="F129" s="5">
        <f t="shared" ref="F129:F130" si="7">C129*D129</f>
        <v>0.265926</v>
      </c>
    </row>
    <row r="130" spans="1:7" ht="28.8" x14ac:dyDescent="0.3">
      <c r="A130" s="13" t="s">
        <v>48</v>
      </c>
      <c r="B130" t="s">
        <v>26</v>
      </c>
      <c r="C130" s="6">
        <v>2.9360000000000001E-2</v>
      </c>
      <c r="D130">
        <f>D129</f>
        <v>94</v>
      </c>
      <c r="E130">
        <v>10</v>
      </c>
      <c r="F130" s="5">
        <f t="shared" si="7"/>
        <v>2.7598400000000001</v>
      </c>
    </row>
    <row r="131" spans="1:7" x14ac:dyDescent="0.3">
      <c r="A131" s="38" t="s">
        <v>49</v>
      </c>
      <c r="B131" s="38"/>
      <c r="C131" s="38"/>
      <c r="D131" s="38"/>
      <c r="E131" s="38"/>
      <c r="F131" s="39">
        <f>SUM(F128:F130)</f>
        <v>3.025766</v>
      </c>
    </row>
    <row r="133" spans="1:7" x14ac:dyDescent="0.3">
      <c r="A133" t="s">
        <v>50</v>
      </c>
      <c r="B133" t="s">
        <v>26</v>
      </c>
      <c r="C133" s="6">
        <v>2.2700000000000001E-2</v>
      </c>
      <c r="D133">
        <f>D130</f>
        <v>94</v>
      </c>
      <c r="E133">
        <v>10</v>
      </c>
      <c r="F133" s="5">
        <f t="shared" ref="F133" si="8">C133*D133</f>
        <v>2.1337999999999999</v>
      </c>
    </row>
    <row r="134" spans="1:7" x14ac:dyDescent="0.3">
      <c r="A134" s="38" t="s">
        <v>51</v>
      </c>
      <c r="B134" s="38"/>
      <c r="C134" s="38"/>
      <c r="D134" s="38"/>
      <c r="E134" s="38"/>
      <c r="F134" s="39">
        <f>SUM(F133)</f>
        <v>2.1337999999999999</v>
      </c>
    </row>
    <row r="135" spans="1:7" x14ac:dyDescent="0.3">
      <c r="A135" s="40" t="s">
        <v>55</v>
      </c>
      <c r="B135" s="40"/>
      <c r="C135" s="40"/>
      <c r="D135" s="40"/>
      <c r="E135" s="40"/>
      <c r="F135" s="40">
        <v>0</v>
      </c>
      <c r="G135" s="49"/>
    </row>
    <row r="136" spans="1:7" x14ac:dyDescent="0.3">
      <c r="A136" s="41" t="s">
        <v>10</v>
      </c>
      <c r="B136" s="41"/>
      <c r="C136" s="41"/>
      <c r="D136" s="41"/>
      <c r="E136" s="41"/>
      <c r="F136" s="41">
        <v>0</v>
      </c>
      <c r="G136" s="49"/>
    </row>
    <row r="137" spans="1:7" x14ac:dyDescent="0.3">
      <c r="A137" s="42" t="s">
        <v>12</v>
      </c>
      <c r="B137" s="42"/>
      <c r="C137" s="42"/>
      <c r="D137" s="42"/>
      <c r="E137" s="42"/>
      <c r="F137" s="43">
        <f>F138*10/100</f>
        <v>9.8158860000000008</v>
      </c>
    </row>
    <row r="138" spans="1:7" x14ac:dyDescent="0.3">
      <c r="A138" s="44" t="s">
        <v>11</v>
      </c>
      <c r="B138" s="44"/>
      <c r="C138" s="44"/>
      <c r="D138" s="44"/>
      <c r="E138" s="44"/>
      <c r="F138" s="45">
        <f>F134+F126+F131+F121+F82+F79+F74+F69+F136</f>
        <v>98.158860000000004</v>
      </c>
    </row>
    <row r="139" spans="1:7" x14ac:dyDescent="0.3">
      <c r="A139" s="23" t="s">
        <v>13</v>
      </c>
      <c r="B139" s="23"/>
      <c r="C139" s="23"/>
      <c r="D139" s="23"/>
      <c r="E139" s="23"/>
      <c r="F139" s="24">
        <f>F122+F82+F74+F79+F69++F80127+F131+F126+F134+F137+F121+F135+K130</f>
        <v>107.97474600000001</v>
      </c>
    </row>
    <row r="140" spans="1:7" x14ac:dyDescent="0.3">
      <c r="A140" s="7"/>
      <c r="B140" s="7"/>
      <c r="C140" s="7"/>
      <c r="D140" s="7"/>
      <c r="E140" s="7"/>
      <c r="F140" s="8"/>
    </row>
    <row r="141" spans="1:7" x14ac:dyDescent="0.3">
      <c r="A141" s="7"/>
      <c r="B141" s="7"/>
      <c r="C141" s="7"/>
      <c r="D141" s="7"/>
      <c r="E141" s="7"/>
      <c r="F141" s="9"/>
    </row>
    <row r="142" spans="1:7" x14ac:dyDescent="0.3">
      <c r="A142" s="3">
        <f ca="1">TODAY()</f>
        <v>45957</v>
      </c>
      <c r="D142" s="4"/>
    </row>
  </sheetData>
  <mergeCells count="2">
    <mergeCell ref="A50:F50"/>
    <mergeCell ref="A102:F102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E" error="DATO NON SELEZIONATO" promptTitle="INSERIRE VALORE" xr:uid="{344D5142-8877-4BBF-890E-7337E4B485F0}">
          <x14:formula1>
            <xm:f>DATI!$B$4:$B$6</xm:f>
          </x14:formula1>
          <xm:sqref>C76 C128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1298-F815-4989-A72E-51A21AA59756}">
  <dimension ref="A12:F153"/>
  <sheetViews>
    <sheetView topLeftCell="A105" workbookViewId="0">
      <selection activeCell="H142" sqref="H142"/>
    </sheetView>
  </sheetViews>
  <sheetFormatPr defaultRowHeight="14.4" x14ac:dyDescent="0.3"/>
  <cols>
    <col min="1" max="1" width="31.5546875" customWidth="1"/>
    <col min="2" max="2" width="9.77734375" customWidth="1"/>
    <col min="3" max="3" width="11.77734375" customWidth="1"/>
    <col min="4" max="4" width="13.33203125" customWidth="1"/>
    <col min="5" max="6" width="9.77734375" customWidth="1"/>
  </cols>
  <sheetData>
    <row r="12" spans="3:6" ht="15" thickBot="1" x14ac:dyDescent="0.35"/>
    <row r="13" spans="3:6" ht="15" thickBot="1" x14ac:dyDescent="0.35">
      <c r="C13" s="32"/>
      <c r="D13" s="33"/>
      <c r="E13" s="32"/>
      <c r="F13" s="34"/>
    </row>
    <row r="14" spans="3:6" ht="15" thickBot="1" x14ac:dyDescent="0.35">
      <c r="C14" s="32" t="s">
        <v>0</v>
      </c>
      <c r="D14" s="33"/>
      <c r="E14" s="35"/>
      <c r="F14" s="34"/>
    </row>
    <row r="15" spans="3:6" ht="15" thickBot="1" x14ac:dyDescent="0.35">
      <c r="C15" s="32" t="s">
        <v>1</v>
      </c>
      <c r="D15" s="33"/>
      <c r="E15" s="32" t="s">
        <v>63</v>
      </c>
      <c r="F15" s="34"/>
    </row>
    <row r="16" spans="3:6" ht="15" thickBot="1" x14ac:dyDescent="0.35">
      <c r="C16" s="32" t="s">
        <v>2</v>
      </c>
      <c r="D16" s="33"/>
      <c r="E16" s="36">
        <f>C29</f>
        <v>44.276528999999996</v>
      </c>
      <c r="F16" s="34"/>
    </row>
    <row r="21" spans="1:6" ht="18" x14ac:dyDescent="0.35">
      <c r="A21" s="1" t="s">
        <v>3</v>
      </c>
      <c r="B21" s="1"/>
      <c r="C21" s="1"/>
    </row>
    <row r="22" spans="1:6" ht="18" x14ac:dyDescent="0.35">
      <c r="A22" s="16" t="s">
        <v>4</v>
      </c>
      <c r="B22" s="17"/>
      <c r="C22" s="18" t="s">
        <v>5</v>
      </c>
      <c r="D22" s="19"/>
      <c r="E22" s="18" t="s">
        <v>6</v>
      </c>
      <c r="F22" s="17"/>
    </row>
    <row r="23" spans="1:6" x14ac:dyDescent="0.3">
      <c r="A23" s="25" t="s">
        <v>7</v>
      </c>
      <c r="B23" s="26"/>
      <c r="C23" s="27">
        <f>F69+F121</f>
        <v>26.505323000000001</v>
      </c>
      <c r="D23" s="26"/>
      <c r="E23" s="28">
        <f>C23/$C$29</f>
        <v>0.59863145550546659</v>
      </c>
      <c r="F23" s="26"/>
    </row>
    <row r="24" spans="1:6" x14ac:dyDescent="0.3">
      <c r="A24" s="26" t="s">
        <v>8</v>
      </c>
      <c r="B24" s="26"/>
      <c r="C24" s="27">
        <f>F74+F79+F126+F131</f>
        <v>11.612266999999999</v>
      </c>
      <c r="D24" s="26"/>
      <c r="E24" s="28">
        <f t="shared" ref="E24:E29" si="0">C24/$C$29</f>
        <v>0.26226687733358683</v>
      </c>
      <c r="F24" s="26"/>
    </row>
    <row r="25" spans="1:6" x14ac:dyDescent="0.3">
      <c r="A25" s="26" t="s">
        <v>9</v>
      </c>
      <c r="B25" s="26"/>
      <c r="C25" s="27">
        <f>F82+F134</f>
        <v>2.1337999999999999</v>
      </c>
      <c r="D25" s="26"/>
      <c r="E25" s="28">
        <f t="shared" si="0"/>
        <v>4.8192576251855697E-2</v>
      </c>
      <c r="F25" s="26"/>
    </row>
    <row r="26" spans="1:6" x14ac:dyDescent="0.3">
      <c r="A26" s="26" t="s">
        <v>64</v>
      </c>
      <c r="B26" s="26"/>
      <c r="C26" s="29">
        <f>F135</f>
        <v>0</v>
      </c>
      <c r="D26" s="26"/>
      <c r="E26" s="28">
        <f t="shared" si="0"/>
        <v>0</v>
      </c>
      <c r="F26" s="26"/>
    </row>
    <row r="27" spans="1:6" x14ac:dyDescent="0.3">
      <c r="A27" s="26" t="s">
        <v>11</v>
      </c>
      <c r="B27" s="26"/>
      <c r="C27" s="29">
        <f>F138</f>
        <v>40.251390000000001</v>
      </c>
      <c r="D27" s="26"/>
      <c r="E27" s="28"/>
      <c r="F27" s="26"/>
    </row>
    <row r="28" spans="1:6" x14ac:dyDescent="0.3">
      <c r="A28" s="26" t="s">
        <v>12</v>
      </c>
      <c r="B28" s="26"/>
      <c r="C28" s="27">
        <f>F137</f>
        <v>4.0251390000000002</v>
      </c>
      <c r="D28" s="26"/>
      <c r="E28" s="28">
        <f t="shared" si="0"/>
        <v>9.0909090909090925E-2</v>
      </c>
      <c r="F28" s="26"/>
    </row>
    <row r="29" spans="1:6" x14ac:dyDescent="0.3">
      <c r="A29" s="30" t="s">
        <v>13</v>
      </c>
      <c r="B29" s="30"/>
      <c r="C29" s="31">
        <f>F139</f>
        <v>44.276528999999996</v>
      </c>
      <c r="D29" s="30"/>
      <c r="E29" s="28">
        <f t="shared" si="0"/>
        <v>1</v>
      </c>
      <c r="F29" s="30"/>
    </row>
    <row r="31" spans="1:6" x14ac:dyDescent="0.3">
      <c r="B31" s="2"/>
      <c r="C31" s="2"/>
      <c r="D31" s="2"/>
      <c r="E31" s="2"/>
    </row>
    <row r="32" spans="1:6" ht="18" x14ac:dyDescent="0.35">
      <c r="A32" s="20" t="s">
        <v>14</v>
      </c>
      <c r="B32" s="21"/>
      <c r="C32" s="21"/>
      <c r="D32" s="21"/>
      <c r="E32" s="22" t="s">
        <v>5</v>
      </c>
      <c r="F32" s="20"/>
    </row>
    <row r="33" spans="1:6" x14ac:dyDescent="0.3">
      <c r="A33" s="25" t="s">
        <v>15</v>
      </c>
      <c r="B33" s="26"/>
      <c r="C33" s="26"/>
      <c r="D33" s="26"/>
      <c r="E33" s="37">
        <v>137.06</v>
      </c>
      <c r="F33" s="26"/>
    </row>
    <row r="34" spans="1:6" x14ac:dyDescent="0.3">
      <c r="A34" s="26" t="s">
        <v>54</v>
      </c>
      <c r="B34" s="26"/>
      <c r="C34" s="26"/>
      <c r="D34" s="26"/>
      <c r="E34" s="29">
        <f>E33-C29</f>
        <v>92.783471000000006</v>
      </c>
      <c r="F34" s="26"/>
    </row>
    <row r="35" spans="1:6" x14ac:dyDescent="0.3">
      <c r="A35" s="26" t="s">
        <v>16</v>
      </c>
      <c r="B35" s="26"/>
      <c r="C35" s="26"/>
      <c r="D35" s="26"/>
      <c r="E35" s="29">
        <f>E34*6</f>
        <v>556.70082600000001</v>
      </c>
      <c r="F35" s="26"/>
    </row>
    <row r="47" spans="1:6" x14ac:dyDescent="0.3">
      <c r="A47" s="3">
        <f ca="1">TODAY()</f>
        <v>45957</v>
      </c>
      <c r="D47" s="4"/>
    </row>
    <row r="50" spans="1:6" ht="18" x14ac:dyDescent="0.35">
      <c r="A50" s="47" t="s">
        <v>53</v>
      </c>
      <c r="B50" s="47"/>
      <c r="C50" s="47"/>
      <c r="D50" s="47"/>
      <c r="E50" s="47"/>
      <c r="F50" s="47"/>
    </row>
    <row r="51" spans="1:6" x14ac:dyDescent="0.3">
      <c r="A51" s="38"/>
      <c r="B51" s="38" t="s">
        <v>17</v>
      </c>
      <c r="C51" s="38" t="s">
        <v>18</v>
      </c>
      <c r="D51" s="38" t="s">
        <v>19</v>
      </c>
      <c r="E51" s="38" t="s">
        <v>20</v>
      </c>
      <c r="F51" s="38" t="s">
        <v>21</v>
      </c>
    </row>
    <row r="52" spans="1:6" x14ac:dyDescent="0.3">
      <c r="A52" t="s">
        <v>22</v>
      </c>
      <c r="B52" t="s">
        <v>60</v>
      </c>
      <c r="C52" s="6">
        <v>8.9499999999999993</v>
      </c>
      <c r="D52">
        <v>0</v>
      </c>
      <c r="E52">
        <v>10</v>
      </c>
      <c r="F52" s="5">
        <f>C52*D52</f>
        <v>0</v>
      </c>
    </row>
    <row r="53" spans="1:6" x14ac:dyDescent="0.3">
      <c r="A53" t="s">
        <v>23</v>
      </c>
      <c r="B53" t="s">
        <v>59</v>
      </c>
      <c r="C53" s="6">
        <v>0.109858</v>
      </c>
      <c r="D53">
        <v>0</v>
      </c>
      <c r="E53">
        <v>10</v>
      </c>
      <c r="F53" s="5">
        <v>0</v>
      </c>
    </row>
    <row r="54" spans="1:6" x14ac:dyDescent="0.3">
      <c r="A54" t="s">
        <v>24</v>
      </c>
      <c r="B54" t="s">
        <v>26</v>
      </c>
      <c r="C54" s="6">
        <v>0.16067000000000001</v>
      </c>
      <c r="D54" s="2">
        <v>0</v>
      </c>
      <c r="E54">
        <v>10</v>
      </c>
      <c r="F54" s="5">
        <f t="shared" ref="F54:F68" si="1">C54*D54</f>
        <v>0</v>
      </c>
    </row>
    <row r="55" spans="1:6" x14ac:dyDescent="0.3">
      <c r="A55" t="s">
        <v>25</v>
      </c>
      <c r="B55" t="s">
        <v>26</v>
      </c>
      <c r="C55" s="6">
        <v>0.14813000000000001</v>
      </c>
      <c r="D55" s="2">
        <v>0</v>
      </c>
      <c r="E55">
        <v>10</v>
      </c>
      <c r="F55" s="5">
        <f t="shared" si="1"/>
        <v>0</v>
      </c>
    </row>
    <row r="56" spans="1:6" x14ac:dyDescent="0.3">
      <c r="A56" t="s">
        <v>27</v>
      </c>
      <c r="B56" t="s">
        <v>26</v>
      </c>
      <c r="C56" s="6">
        <v>0.11801</v>
      </c>
      <c r="D56" s="2">
        <v>0</v>
      </c>
      <c r="E56">
        <v>10</v>
      </c>
      <c r="F56" s="5">
        <f t="shared" si="1"/>
        <v>0</v>
      </c>
    </row>
    <row r="57" spans="1:6" x14ac:dyDescent="0.3">
      <c r="A57" t="s">
        <v>28</v>
      </c>
      <c r="B57" t="s">
        <v>26</v>
      </c>
      <c r="C57" s="6">
        <f>C54</f>
        <v>0.16067000000000001</v>
      </c>
      <c r="D57">
        <f xml:space="preserve"> ROUND(D54*10/100,0)</f>
        <v>0</v>
      </c>
      <c r="E57">
        <v>10</v>
      </c>
      <c r="F57" s="5">
        <f t="shared" si="1"/>
        <v>0</v>
      </c>
    </row>
    <row r="58" spans="1:6" x14ac:dyDescent="0.3">
      <c r="A58" t="s">
        <v>29</v>
      </c>
      <c r="B58" t="s">
        <v>30</v>
      </c>
      <c r="C58" s="6">
        <f>C55</f>
        <v>0.14813000000000001</v>
      </c>
      <c r="D58">
        <f xml:space="preserve"> ROUND(D55*10/100,0)</f>
        <v>0</v>
      </c>
      <c r="E58">
        <v>10</v>
      </c>
      <c r="F58" s="5">
        <f t="shared" si="1"/>
        <v>0</v>
      </c>
    </row>
    <row r="59" spans="1:6" x14ac:dyDescent="0.3">
      <c r="A59" t="s">
        <v>31</v>
      </c>
      <c r="B59" t="s">
        <v>26</v>
      </c>
      <c r="C59" s="6">
        <f>C56</f>
        <v>0.11801</v>
      </c>
      <c r="D59">
        <f xml:space="preserve"> ROUND(D56*10/100,0)</f>
        <v>0</v>
      </c>
      <c r="E59">
        <v>10</v>
      </c>
      <c r="F59" s="5">
        <f t="shared" si="1"/>
        <v>0</v>
      </c>
    </row>
    <row r="60" spans="1:6" x14ac:dyDescent="0.3">
      <c r="A60" t="s">
        <v>32</v>
      </c>
      <c r="B60" t="s">
        <v>26</v>
      </c>
      <c r="C60">
        <v>1.9530000000000001E-3</v>
      </c>
      <c r="D60">
        <f>D54+D55+D56+D57+D58+D59</f>
        <v>0</v>
      </c>
      <c r="E60">
        <v>10</v>
      </c>
      <c r="F60" s="5">
        <f t="shared" si="1"/>
        <v>0</v>
      </c>
    </row>
    <row r="61" spans="1:6" x14ac:dyDescent="0.3">
      <c r="A61" t="s">
        <v>33</v>
      </c>
      <c r="B61" t="s">
        <v>26</v>
      </c>
      <c r="C61">
        <v>2.0479999999999999E-3</v>
      </c>
      <c r="D61">
        <f>D60</f>
        <v>0</v>
      </c>
      <c r="E61">
        <v>10</v>
      </c>
      <c r="F61" s="5">
        <f t="shared" ref="F61:F66" si="2">C61*D61</f>
        <v>0</v>
      </c>
    </row>
    <row r="62" spans="1:6" x14ac:dyDescent="0.3">
      <c r="A62" t="s">
        <v>34</v>
      </c>
      <c r="B62" t="s">
        <v>26</v>
      </c>
      <c r="C62">
        <v>5.5800000000000001E-4</v>
      </c>
      <c r="D62">
        <f t="shared" ref="D62:D64" si="3">D61</f>
        <v>0</v>
      </c>
      <c r="E62">
        <v>10</v>
      </c>
      <c r="F62" s="5">
        <f t="shared" si="2"/>
        <v>0</v>
      </c>
    </row>
    <row r="63" spans="1:6" x14ac:dyDescent="0.3">
      <c r="A63" t="s">
        <v>35</v>
      </c>
      <c r="B63" t="s">
        <v>26</v>
      </c>
      <c r="C63">
        <v>8.5599999999999999E-4</v>
      </c>
      <c r="D63">
        <f t="shared" si="3"/>
        <v>0</v>
      </c>
      <c r="E63">
        <v>10</v>
      </c>
      <c r="F63" s="5">
        <f t="shared" si="2"/>
        <v>0</v>
      </c>
    </row>
    <row r="64" spans="1:6" x14ac:dyDescent="0.3">
      <c r="A64" t="s">
        <v>61</v>
      </c>
      <c r="B64" t="s">
        <v>26</v>
      </c>
      <c r="C64" s="6">
        <v>5.1999999999999995E-4</v>
      </c>
      <c r="D64">
        <f t="shared" si="3"/>
        <v>0</v>
      </c>
      <c r="E64">
        <v>10</v>
      </c>
      <c r="F64" s="5">
        <f>C64*D64</f>
        <v>0</v>
      </c>
    </row>
    <row r="65" spans="1:6" x14ac:dyDescent="0.3">
      <c r="A65" t="s">
        <v>36</v>
      </c>
      <c r="B65" t="s">
        <v>37</v>
      </c>
      <c r="C65" s="6">
        <v>7.0000000000000001E-3</v>
      </c>
      <c r="D65">
        <v>0</v>
      </c>
      <c r="E65">
        <v>10</v>
      </c>
      <c r="F65" s="5">
        <f t="shared" si="2"/>
        <v>0</v>
      </c>
    </row>
    <row r="66" spans="1:6" ht="43.2" x14ac:dyDescent="0.3">
      <c r="A66" s="13" t="s">
        <v>57</v>
      </c>
      <c r="B66" t="s">
        <v>26</v>
      </c>
      <c r="C66" s="6">
        <v>0.01</v>
      </c>
      <c r="D66">
        <f>D63</f>
        <v>0</v>
      </c>
      <c r="E66">
        <v>10</v>
      </c>
      <c r="F66" s="5">
        <f t="shared" si="2"/>
        <v>0</v>
      </c>
    </row>
    <row r="67" spans="1:6" x14ac:dyDescent="0.3">
      <c r="A67" s="13" t="s">
        <v>58</v>
      </c>
      <c r="B67" t="s">
        <v>26</v>
      </c>
      <c r="C67" s="6">
        <v>5.0000000000000001E-3</v>
      </c>
      <c r="D67">
        <f>D61</f>
        <v>0</v>
      </c>
      <c r="E67">
        <v>10</v>
      </c>
      <c r="F67" s="5">
        <f>D67*C67</f>
        <v>0</v>
      </c>
    </row>
    <row r="68" spans="1:6" x14ac:dyDescent="0.3">
      <c r="A68" t="s">
        <v>38</v>
      </c>
      <c r="B68" t="s">
        <v>26</v>
      </c>
      <c r="C68" s="6">
        <v>1.093E-2</v>
      </c>
      <c r="D68">
        <f>D66</f>
        <v>0</v>
      </c>
      <c r="E68">
        <v>10</v>
      </c>
      <c r="F68" s="5">
        <f t="shared" si="1"/>
        <v>0</v>
      </c>
    </row>
    <row r="69" spans="1:6" x14ac:dyDescent="0.3">
      <c r="A69" s="38" t="s">
        <v>39</v>
      </c>
      <c r="B69" s="38"/>
      <c r="C69" s="38"/>
      <c r="D69" s="38"/>
      <c r="E69" s="38"/>
      <c r="F69" s="39">
        <f>SUM(F52:F68)</f>
        <v>0</v>
      </c>
    </row>
    <row r="71" spans="1:6" x14ac:dyDescent="0.3">
      <c r="A71" t="s">
        <v>40</v>
      </c>
      <c r="B71" t="s">
        <v>41</v>
      </c>
      <c r="C71" s="6">
        <v>1.8665670000000001</v>
      </c>
      <c r="D71" s="2">
        <v>0</v>
      </c>
      <c r="E71">
        <v>10</v>
      </c>
      <c r="F71" s="5">
        <f>C71*D71</f>
        <v>0</v>
      </c>
    </row>
    <row r="72" spans="1:6" x14ac:dyDescent="0.3">
      <c r="A72" t="s">
        <v>42</v>
      </c>
      <c r="B72" t="s">
        <v>43</v>
      </c>
      <c r="C72" s="6">
        <v>1.84</v>
      </c>
      <c r="D72">
        <v>0</v>
      </c>
      <c r="E72">
        <v>10</v>
      </c>
      <c r="F72" s="5">
        <f>C72*D72</f>
        <v>0</v>
      </c>
    </row>
    <row r="73" spans="1:6" x14ac:dyDescent="0.3">
      <c r="A73" t="s">
        <v>44</v>
      </c>
      <c r="B73" t="s">
        <v>26</v>
      </c>
      <c r="C73" s="6">
        <v>1.2200000000000001E-2</v>
      </c>
      <c r="D73">
        <f>D54+D55+D56</f>
        <v>0</v>
      </c>
      <c r="E73">
        <v>10</v>
      </c>
      <c r="F73" s="5">
        <f>C73*D73</f>
        <v>0</v>
      </c>
    </row>
    <row r="74" spans="1:6" x14ac:dyDescent="0.3">
      <c r="A74" s="38" t="s">
        <v>45</v>
      </c>
      <c r="B74" s="38"/>
      <c r="C74" s="38"/>
      <c r="D74" s="38"/>
      <c r="E74" s="38"/>
      <c r="F74" s="39">
        <f>SUM(F71:F73)</f>
        <v>0</v>
      </c>
    </row>
    <row r="75" spans="1:6" x14ac:dyDescent="0.3">
      <c r="C75" s="6"/>
    </row>
    <row r="76" spans="1:6" x14ac:dyDescent="0.3">
      <c r="A76" t="s">
        <v>46</v>
      </c>
      <c r="B76" t="s">
        <v>43</v>
      </c>
      <c r="C76" s="12">
        <v>0</v>
      </c>
      <c r="D76">
        <v>0</v>
      </c>
      <c r="E76">
        <v>10</v>
      </c>
      <c r="F76" s="5">
        <f>C76*D76</f>
        <v>0</v>
      </c>
    </row>
    <row r="77" spans="1:6" x14ac:dyDescent="0.3">
      <c r="A77" t="s">
        <v>47</v>
      </c>
      <c r="B77" t="s">
        <v>26</v>
      </c>
      <c r="C77" s="6">
        <v>8.8280000000000008E-3</v>
      </c>
      <c r="D77">
        <f>D54+D55+D56</f>
        <v>0</v>
      </c>
      <c r="E77">
        <v>10</v>
      </c>
      <c r="F77" s="5">
        <f t="shared" ref="F77:F78" si="4">C77*D77</f>
        <v>0</v>
      </c>
    </row>
    <row r="78" spans="1:6" x14ac:dyDescent="0.3">
      <c r="A78" t="s">
        <v>48</v>
      </c>
      <c r="B78" t="s">
        <v>26</v>
      </c>
      <c r="C78" s="6">
        <v>2.9808999999999999E-2</v>
      </c>
      <c r="D78">
        <f>D77</f>
        <v>0</v>
      </c>
      <c r="E78">
        <v>10</v>
      </c>
      <c r="F78" s="5">
        <f t="shared" si="4"/>
        <v>0</v>
      </c>
    </row>
    <row r="79" spans="1:6" x14ac:dyDescent="0.3">
      <c r="A79" s="38" t="s">
        <v>49</v>
      </c>
      <c r="B79" s="38"/>
      <c r="C79" s="38"/>
      <c r="D79" s="38"/>
      <c r="E79" s="38"/>
      <c r="F79" s="39">
        <f>SUM(F76:F78)</f>
        <v>0</v>
      </c>
    </row>
    <row r="81" spans="1:6" x14ac:dyDescent="0.3">
      <c r="A81" t="s">
        <v>50</v>
      </c>
      <c r="B81" t="s">
        <v>26</v>
      </c>
      <c r="C81" s="6">
        <v>2.2700000000000001E-2</v>
      </c>
      <c r="D81">
        <f>D78</f>
        <v>0</v>
      </c>
      <c r="E81">
        <v>10</v>
      </c>
      <c r="F81" s="5">
        <f t="shared" ref="F81" si="5">C81*D81</f>
        <v>0</v>
      </c>
    </row>
    <row r="82" spans="1:6" x14ac:dyDescent="0.3">
      <c r="A82" s="38" t="s">
        <v>51</v>
      </c>
      <c r="B82" s="38"/>
      <c r="C82" s="38"/>
      <c r="D82" s="38"/>
      <c r="E82" s="38"/>
      <c r="F82" s="39">
        <f>SUM(F81)</f>
        <v>0</v>
      </c>
    </row>
    <row r="84" spans="1:6" x14ac:dyDescent="0.3">
      <c r="B84" s="10"/>
      <c r="C84" s="10"/>
      <c r="D84" s="10"/>
      <c r="E84" s="10"/>
      <c r="F84" s="11"/>
    </row>
    <row r="85" spans="1:6" x14ac:dyDescent="0.3">
      <c r="A85" s="14" t="s">
        <v>55</v>
      </c>
      <c r="B85" s="7"/>
      <c r="C85" s="7"/>
      <c r="D85" s="7"/>
      <c r="E85" s="7"/>
      <c r="F85" s="7"/>
    </row>
    <row r="86" spans="1:6" x14ac:dyDescent="0.3">
      <c r="A86" s="14" t="s">
        <v>13</v>
      </c>
      <c r="B86" s="14"/>
      <c r="C86" s="14"/>
      <c r="D86" s="14"/>
      <c r="E86" s="14"/>
      <c r="F86" s="15">
        <f>F69+F74+F79+F82+F84</f>
        <v>0</v>
      </c>
    </row>
    <row r="95" spans="1:6" x14ac:dyDescent="0.3">
      <c r="A95" s="3">
        <f ca="1">TODAY()</f>
        <v>45957</v>
      </c>
      <c r="D95" s="4"/>
    </row>
    <row r="100" spans="1:6" x14ac:dyDescent="0.3">
      <c r="A100" s="3"/>
      <c r="D100" s="4"/>
    </row>
    <row r="102" spans="1:6" ht="18" x14ac:dyDescent="0.35">
      <c r="A102" s="47" t="s">
        <v>52</v>
      </c>
      <c r="B102" s="48"/>
      <c r="C102" s="48"/>
      <c r="D102" s="48"/>
      <c r="E102" s="48"/>
      <c r="F102" s="48"/>
    </row>
    <row r="103" spans="1:6" x14ac:dyDescent="0.3">
      <c r="A103" s="38"/>
      <c r="B103" s="38" t="s">
        <v>17</v>
      </c>
      <c r="C103" s="38" t="s">
        <v>18</v>
      </c>
      <c r="D103" s="38" t="s">
        <v>19</v>
      </c>
      <c r="E103" s="38" t="s">
        <v>20</v>
      </c>
      <c r="F103" s="38" t="s">
        <v>21</v>
      </c>
    </row>
    <row r="104" spans="1:6" x14ac:dyDescent="0.3">
      <c r="A104" t="s">
        <v>22</v>
      </c>
      <c r="B104" t="s">
        <v>60</v>
      </c>
      <c r="C104" s="6">
        <v>8.9499999999999993</v>
      </c>
      <c r="D104">
        <v>1</v>
      </c>
      <c r="E104">
        <v>10</v>
      </c>
      <c r="F104" s="5">
        <f>C104*D104</f>
        <v>8.9499999999999993</v>
      </c>
    </row>
    <row r="105" spans="1:6" x14ac:dyDescent="0.3">
      <c r="A105" t="s">
        <v>23</v>
      </c>
      <c r="B105" t="s">
        <v>59</v>
      </c>
      <c r="C105" s="6">
        <v>0.109858</v>
      </c>
      <c r="D105">
        <v>1</v>
      </c>
      <c r="E105">
        <v>10</v>
      </c>
      <c r="F105" s="5">
        <f>C105</f>
        <v>0.109858</v>
      </c>
    </row>
    <row r="106" spans="1:6" x14ac:dyDescent="0.3">
      <c r="A106" t="s">
        <v>24</v>
      </c>
      <c r="B106" t="s">
        <v>26</v>
      </c>
      <c r="C106" s="6">
        <v>0.16052</v>
      </c>
      <c r="D106" s="2">
        <v>24</v>
      </c>
      <c r="E106">
        <v>10</v>
      </c>
      <c r="F106" s="5">
        <f t="shared" ref="F106:F120" si="6">C106*D106</f>
        <v>3.8524799999999999</v>
      </c>
    </row>
    <row r="107" spans="1:6" x14ac:dyDescent="0.3">
      <c r="A107" t="s">
        <v>25</v>
      </c>
      <c r="B107" t="s">
        <v>26</v>
      </c>
      <c r="C107" s="6">
        <v>0.15381</v>
      </c>
      <c r="D107" s="2">
        <v>37</v>
      </c>
      <c r="E107">
        <v>10</v>
      </c>
      <c r="F107" s="5">
        <f t="shared" si="6"/>
        <v>5.6909700000000001</v>
      </c>
    </row>
    <row r="108" spans="1:6" x14ac:dyDescent="0.3">
      <c r="A108" t="s">
        <v>27</v>
      </c>
      <c r="B108" t="s">
        <v>26</v>
      </c>
      <c r="C108" s="6">
        <v>0.13074</v>
      </c>
      <c r="D108" s="2">
        <v>33</v>
      </c>
      <c r="E108">
        <v>10</v>
      </c>
      <c r="F108" s="5">
        <f t="shared" si="6"/>
        <v>4.3144200000000001</v>
      </c>
    </row>
    <row r="109" spans="1:6" x14ac:dyDescent="0.3">
      <c r="A109" t="s">
        <v>28</v>
      </c>
      <c r="B109" t="s">
        <v>26</v>
      </c>
      <c r="C109" s="6">
        <f>C106</f>
        <v>0.16052</v>
      </c>
      <c r="D109">
        <f xml:space="preserve"> ROUND(D106*10/100,0)</f>
        <v>2</v>
      </c>
      <c r="E109">
        <v>10</v>
      </c>
      <c r="F109" s="5">
        <f t="shared" si="6"/>
        <v>0.32103999999999999</v>
      </c>
    </row>
    <row r="110" spans="1:6" x14ac:dyDescent="0.3">
      <c r="A110" t="s">
        <v>29</v>
      </c>
      <c r="B110" t="s">
        <v>30</v>
      </c>
      <c r="C110" s="6">
        <f>C107</f>
        <v>0.15381</v>
      </c>
      <c r="D110">
        <f xml:space="preserve"> ROUND(D107*10/100,0)</f>
        <v>4</v>
      </c>
      <c r="E110">
        <v>10</v>
      </c>
      <c r="F110" s="5">
        <f t="shared" si="6"/>
        <v>0.61524000000000001</v>
      </c>
    </row>
    <row r="111" spans="1:6" x14ac:dyDescent="0.3">
      <c r="A111" t="s">
        <v>31</v>
      </c>
      <c r="B111" t="s">
        <v>26</v>
      </c>
      <c r="C111" s="6">
        <f>C108</f>
        <v>0.13074</v>
      </c>
      <c r="D111">
        <f xml:space="preserve"> ROUND(D108*10/100,0)</f>
        <v>3</v>
      </c>
      <c r="E111">
        <v>10</v>
      </c>
      <c r="F111" s="5">
        <f t="shared" si="6"/>
        <v>0.39222000000000001</v>
      </c>
    </row>
    <row r="112" spans="1:6" x14ac:dyDescent="0.3">
      <c r="A112" t="s">
        <v>32</v>
      </c>
      <c r="B112" t="s">
        <v>26</v>
      </c>
      <c r="C112">
        <v>1.9530000000000001E-3</v>
      </c>
      <c r="D112">
        <f>D106+D107+D108+D109+D110+D111</f>
        <v>103</v>
      </c>
      <c r="E112">
        <v>10</v>
      </c>
      <c r="F112" s="5">
        <f t="shared" si="6"/>
        <v>0.201159</v>
      </c>
    </row>
    <row r="113" spans="1:6" x14ac:dyDescent="0.3">
      <c r="A113" t="s">
        <v>33</v>
      </c>
      <c r="B113" t="s">
        <v>26</v>
      </c>
      <c r="C113">
        <v>2.0479999999999999E-3</v>
      </c>
      <c r="D113">
        <f>D112</f>
        <v>103</v>
      </c>
      <c r="E113">
        <v>10</v>
      </c>
      <c r="F113" s="5">
        <f t="shared" si="6"/>
        <v>0.21094399999999999</v>
      </c>
    </row>
    <row r="114" spans="1:6" x14ac:dyDescent="0.3">
      <c r="A114" t="s">
        <v>34</v>
      </c>
      <c r="B114" t="s">
        <v>26</v>
      </c>
      <c r="C114">
        <v>5.5800000000000001E-4</v>
      </c>
      <c r="D114">
        <f t="shared" ref="D114:D116" si="7">D113</f>
        <v>103</v>
      </c>
      <c r="E114">
        <v>10</v>
      </c>
      <c r="F114" s="5">
        <f t="shared" si="6"/>
        <v>5.7474000000000004E-2</v>
      </c>
    </row>
    <row r="115" spans="1:6" x14ac:dyDescent="0.3">
      <c r="A115" t="s">
        <v>35</v>
      </c>
      <c r="B115" t="s">
        <v>26</v>
      </c>
      <c r="C115">
        <v>8.5599999999999999E-4</v>
      </c>
      <c r="D115">
        <f t="shared" si="7"/>
        <v>103</v>
      </c>
      <c r="E115">
        <v>10</v>
      </c>
      <c r="F115" s="5">
        <f t="shared" si="6"/>
        <v>8.8167999999999996E-2</v>
      </c>
    </row>
    <row r="116" spans="1:6" x14ac:dyDescent="0.3">
      <c r="A116" t="s">
        <v>61</v>
      </c>
      <c r="B116" t="s">
        <v>26</v>
      </c>
      <c r="C116" s="6">
        <v>5.1999999999999995E-4</v>
      </c>
      <c r="D116">
        <f t="shared" si="7"/>
        <v>103</v>
      </c>
      <c r="E116">
        <v>10</v>
      </c>
      <c r="F116" s="5">
        <f>C116*D116</f>
        <v>5.3559999999999997E-2</v>
      </c>
    </row>
    <row r="117" spans="1:6" x14ac:dyDescent="0.3">
      <c r="A117" t="s">
        <v>36</v>
      </c>
      <c r="B117" t="s">
        <v>37</v>
      </c>
      <c r="C117" s="6">
        <v>7.0000000000000001E-3</v>
      </c>
      <c r="D117">
        <v>1</v>
      </c>
      <c r="E117">
        <v>10</v>
      </c>
      <c r="F117" s="5">
        <f t="shared" si="6"/>
        <v>7.0000000000000001E-3</v>
      </c>
    </row>
    <row r="118" spans="1:6" ht="28.8" x14ac:dyDescent="0.3">
      <c r="A118" s="13" t="s">
        <v>62</v>
      </c>
      <c r="B118" t="s">
        <v>26</v>
      </c>
      <c r="C118" s="6">
        <v>0.01</v>
      </c>
      <c r="D118">
        <f>D115</f>
        <v>103</v>
      </c>
      <c r="E118">
        <v>10</v>
      </c>
      <c r="F118" s="5">
        <f t="shared" si="6"/>
        <v>1.03</v>
      </c>
    </row>
    <row r="119" spans="1:6" x14ac:dyDescent="0.3">
      <c r="A119" s="13" t="s">
        <v>58</v>
      </c>
      <c r="B119" t="s">
        <v>26</v>
      </c>
      <c r="C119" s="6">
        <v>5.0000000000000001E-3</v>
      </c>
      <c r="D119">
        <f>D113</f>
        <v>103</v>
      </c>
      <c r="E119">
        <v>10</v>
      </c>
      <c r="F119" s="5">
        <f>D119*C119</f>
        <v>0.51500000000000001</v>
      </c>
    </row>
    <row r="120" spans="1:6" x14ac:dyDescent="0.3">
      <c r="A120" t="s">
        <v>38</v>
      </c>
      <c r="B120" t="s">
        <v>26</v>
      </c>
      <c r="C120" s="6">
        <v>9.3000000000000005E-4</v>
      </c>
      <c r="D120">
        <f>D118</f>
        <v>103</v>
      </c>
      <c r="E120">
        <v>10</v>
      </c>
      <c r="F120" s="5">
        <f t="shared" si="6"/>
        <v>9.579E-2</v>
      </c>
    </row>
    <row r="121" spans="1:6" x14ac:dyDescent="0.3">
      <c r="A121" s="38" t="s">
        <v>39</v>
      </c>
      <c r="B121" s="38"/>
      <c r="C121" s="38"/>
      <c r="D121" s="38"/>
      <c r="E121" s="38"/>
      <c r="F121" s="39">
        <f>SUM(F104:F120)</f>
        <v>26.505323000000001</v>
      </c>
    </row>
    <row r="123" spans="1:6" x14ac:dyDescent="0.3">
      <c r="A123" t="s">
        <v>40</v>
      </c>
      <c r="B123" t="s">
        <v>41</v>
      </c>
      <c r="C123" s="6">
        <v>1.8665670000000001</v>
      </c>
      <c r="D123" s="2">
        <v>3</v>
      </c>
      <c r="E123">
        <v>10</v>
      </c>
      <c r="F123" s="5">
        <f>C123*D123</f>
        <v>5.5997010000000005</v>
      </c>
    </row>
    <row r="124" spans="1:6" x14ac:dyDescent="0.3">
      <c r="A124" t="s">
        <v>42</v>
      </c>
      <c r="B124" t="s">
        <v>43</v>
      </c>
      <c r="C124" s="6">
        <v>1.84</v>
      </c>
      <c r="D124">
        <v>1</v>
      </c>
      <c r="E124">
        <v>10</v>
      </c>
      <c r="F124" s="5">
        <f>C124*D124</f>
        <v>1.84</v>
      </c>
    </row>
    <row r="125" spans="1:6" x14ac:dyDescent="0.3">
      <c r="A125" t="s">
        <v>44</v>
      </c>
      <c r="B125" t="s">
        <v>26</v>
      </c>
      <c r="C125" s="6">
        <v>1.2200000000000001E-2</v>
      </c>
      <c r="D125">
        <f>D106+D107+D108</f>
        <v>94</v>
      </c>
      <c r="E125">
        <v>10</v>
      </c>
      <c r="F125" s="5">
        <f>C125*D125</f>
        <v>1.1468</v>
      </c>
    </row>
    <row r="126" spans="1:6" x14ac:dyDescent="0.3">
      <c r="A126" s="38" t="s">
        <v>45</v>
      </c>
      <c r="B126" s="38"/>
      <c r="C126" s="38"/>
      <c r="D126" s="38"/>
      <c r="E126" s="38"/>
      <c r="F126" s="39">
        <f>SUM(F123:F125)</f>
        <v>8.5865010000000002</v>
      </c>
    </row>
    <row r="127" spans="1:6" x14ac:dyDescent="0.3">
      <c r="C127" s="6"/>
    </row>
    <row r="128" spans="1:6" ht="28.8" x14ac:dyDescent="0.3">
      <c r="A128" s="13" t="s">
        <v>46</v>
      </c>
      <c r="B128" t="s">
        <v>43</v>
      </c>
      <c r="C128" s="12">
        <v>0</v>
      </c>
      <c r="D128">
        <v>1</v>
      </c>
      <c r="E128">
        <v>10</v>
      </c>
      <c r="F128" s="5">
        <f>C128*D128</f>
        <v>0</v>
      </c>
    </row>
    <row r="129" spans="1:6" ht="28.8" x14ac:dyDescent="0.3">
      <c r="A129" s="13" t="s">
        <v>47</v>
      </c>
      <c r="B129" t="s">
        <v>26</v>
      </c>
      <c r="C129" s="6">
        <v>2.8289999999999999E-3</v>
      </c>
      <c r="D129">
        <f>D106+D107+D108</f>
        <v>94</v>
      </c>
      <c r="E129">
        <v>10</v>
      </c>
      <c r="F129" s="5">
        <f t="shared" ref="F129:F130" si="8">C129*D129</f>
        <v>0.265926</v>
      </c>
    </row>
    <row r="130" spans="1:6" ht="28.8" x14ac:dyDescent="0.3">
      <c r="A130" s="13" t="s">
        <v>48</v>
      </c>
      <c r="B130" t="s">
        <v>26</v>
      </c>
      <c r="C130" s="6">
        <v>2.9360000000000001E-2</v>
      </c>
      <c r="D130">
        <f>D129</f>
        <v>94</v>
      </c>
      <c r="E130">
        <v>10</v>
      </c>
      <c r="F130" s="5">
        <f t="shared" si="8"/>
        <v>2.7598400000000001</v>
      </c>
    </row>
    <row r="131" spans="1:6" x14ac:dyDescent="0.3">
      <c r="A131" s="38" t="s">
        <v>49</v>
      </c>
      <c r="B131" s="38"/>
      <c r="C131" s="38"/>
      <c r="D131" s="38"/>
      <c r="E131" s="38"/>
      <c r="F131" s="39">
        <f>SUM(F128:F130)</f>
        <v>3.025766</v>
      </c>
    </row>
    <row r="133" spans="1:6" x14ac:dyDescent="0.3">
      <c r="A133" t="s">
        <v>50</v>
      </c>
      <c r="B133" t="s">
        <v>26</v>
      </c>
      <c r="C133" s="6">
        <v>2.2700000000000001E-2</v>
      </c>
      <c r="D133">
        <f>D130</f>
        <v>94</v>
      </c>
      <c r="E133">
        <v>10</v>
      </c>
      <c r="F133" s="5">
        <f t="shared" ref="F133" si="9">C133*D133</f>
        <v>2.1337999999999999</v>
      </c>
    </row>
    <row r="134" spans="1:6" x14ac:dyDescent="0.3">
      <c r="A134" s="38" t="s">
        <v>51</v>
      </c>
      <c r="B134" s="38"/>
      <c r="C134" s="38"/>
      <c r="D134" s="38"/>
      <c r="E134" s="38"/>
      <c r="F134" s="39">
        <f>SUM(F133)</f>
        <v>2.1337999999999999</v>
      </c>
    </row>
    <row r="135" spans="1:6" x14ac:dyDescent="0.3">
      <c r="A135" s="40" t="s">
        <v>55</v>
      </c>
      <c r="B135" s="40"/>
      <c r="C135" s="40"/>
      <c r="D135" s="40"/>
      <c r="E135" s="40"/>
      <c r="F135" s="40">
        <v>0</v>
      </c>
    </row>
    <row r="136" spans="1:6" x14ac:dyDescent="0.3">
      <c r="A136" s="41" t="s">
        <v>10</v>
      </c>
      <c r="B136" s="41"/>
      <c r="C136" s="41"/>
      <c r="D136" s="41"/>
      <c r="E136" s="41"/>
      <c r="F136" s="41">
        <v>0</v>
      </c>
    </row>
    <row r="137" spans="1:6" x14ac:dyDescent="0.3">
      <c r="A137" s="42" t="s">
        <v>12</v>
      </c>
      <c r="B137" s="42"/>
      <c r="C137" s="42"/>
      <c r="D137" s="42"/>
      <c r="E137" s="42"/>
      <c r="F137" s="43">
        <f>F138*10/100</f>
        <v>4.0251390000000002</v>
      </c>
    </row>
    <row r="138" spans="1:6" x14ac:dyDescent="0.3">
      <c r="A138" s="44" t="s">
        <v>11</v>
      </c>
      <c r="B138" s="44"/>
      <c r="C138" s="44"/>
      <c r="D138" s="44"/>
      <c r="E138" s="44"/>
      <c r="F138" s="45">
        <f>F134+F126+F131+F121+F82+F79+F74+F69</f>
        <v>40.251390000000001</v>
      </c>
    </row>
    <row r="139" spans="1:6" x14ac:dyDescent="0.3">
      <c r="A139" s="23" t="s">
        <v>13</v>
      </c>
      <c r="B139" s="23"/>
      <c r="C139" s="23"/>
      <c r="D139" s="23"/>
      <c r="E139" s="23"/>
      <c r="F139" s="24">
        <f>F122+F82+F74+F79+F69++F80127+F131+F126+F134+F137+F121+F135+K130</f>
        <v>44.276528999999996</v>
      </c>
    </row>
    <row r="140" spans="1:6" x14ac:dyDescent="0.3">
      <c r="A140" s="7"/>
      <c r="B140" s="7"/>
      <c r="C140" s="7"/>
      <c r="D140" s="7"/>
      <c r="E140" s="7"/>
      <c r="F140" s="8"/>
    </row>
    <row r="141" spans="1:6" x14ac:dyDescent="0.3">
      <c r="A141" s="7"/>
      <c r="B141" s="7"/>
      <c r="C141" s="7"/>
      <c r="D141" s="7"/>
      <c r="E141" s="7"/>
      <c r="F141" s="9"/>
    </row>
    <row r="142" spans="1:6" x14ac:dyDescent="0.3">
      <c r="A142" s="3">
        <f ca="1">TODAY()</f>
        <v>45957</v>
      </c>
      <c r="D142" s="4"/>
    </row>
    <row r="153" spans="1:4" x14ac:dyDescent="0.3">
      <c r="A153" s="3"/>
      <c r="D153" s="4"/>
    </row>
  </sheetData>
  <mergeCells count="2">
    <mergeCell ref="A50:F50"/>
    <mergeCell ref="A102:F102"/>
  </mergeCell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ERRORE" error="DATO NON SELEZIONATO" promptTitle="INSERIRE VALORE" xr:uid="{E15201DC-312B-422C-9284-C7F4A4ACBAF2}">
          <x14:formula1>
            <xm:f>DATI!$B$4:$B$6</xm:f>
          </x14:formula1>
          <xm:sqref>C76 C128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818C-F2E7-482E-9B5F-67564E44F2AB}">
  <dimension ref="A12:F142"/>
  <sheetViews>
    <sheetView topLeftCell="A84" zoomScaleNormal="100" workbookViewId="0">
      <selection activeCell="A103" sqref="A103"/>
    </sheetView>
  </sheetViews>
  <sheetFormatPr defaultRowHeight="14.4" x14ac:dyDescent="0.3"/>
  <cols>
    <col min="1" max="1" width="31.5546875" customWidth="1"/>
    <col min="2" max="2" width="9.77734375" customWidth="1"/>
    <col min="3" max="3" width="11.77734375" customWidth="1"/>
    <col min="4" max="4" width="13.33203125" customWidth="1"/>
    <col min="5" max="6" width="9.77734375" customWidth="1"/>
  </cols>
  <sheetData>
    <row r="12" spans="3:6" ht="15" thickBot="1" x14ac:dyDescent="0.35"/>
    <row r="13" spans="3:6" ht="15" thickBot="1" x14ac:dyDescent="0.35">
      <c r="C13" s="32"/>
      <c r="D13" s="33"/>
      <c r="E13" s="32"/>
      <c r="F13" s="34"/>
    </row>
    <row r="14" spans="3:6" ht="15" thickBot="1" x14ac:dyDescent="0.35">
      <c r="C14" s="32" t="s">
        <v>0</v>
      </c>
      <c r="D14" s="33"/>
      <c r="E14" s="35"/>
      <c r="F14" s="34"/>
    </row>
    <row r="15" spans="3:6" ht="15" thickBot="1" x14ac:dyDescent="0.35">
      <c r="C15" s="32" t="s">
        <v>1</v>
      </c>
      <c r="D15" s="33"/>
      <c r="E15" s="32" t="s">
        <v>63</v>
      </c>
      <c r="F15" s="34"/>
    </row>
    <row r="16" spans="3:6" ht="15" thickBot="1" x14ac:dyDescent="0.35">
      <c r="C16" s="32" t="s">
        <v>2</v>
      </c>
      <c r="D16" s="33"/>
      <c r="E16" s="36">
        <f>C29</f>
        <v>59.112642200000003</v>
      </c>
      <c r="F16" s="34"/>
    </row>
    <row r="21" spans="1:6" ht="18" x14ac:dyDescent="0.35">
      <c r="A21" s="1" t="s">
        <v>3</v>
      </c>
      <c r="B21" s="1"/>
      <c r="C21" s="1"/>
    </row>
    <row r="22" spans="1:6" ht="18" x14ac:dyDescent="0.35">
      <c r="A22" s="16" t="s">
        <v>4</v>
      </c>
      <c r="B22" s="17"/>
      <c r="C22" s="18" t="s">
        <v>5</v>
      </c>
      <c r="D22" s="19"/>
      <c r="E22" s="18" t="s">
        <v>6</v>
      </c>
      <c r="F22" s="17"/>
    </row>
    <row r="23" spans="1:6" x14ac:dyDescent="0.3">
      <c r="A23" s="25" t="s">
        <v>7</v>
      </c>
      <c r="B23" s="26"/>
      <c r="C23" s="27">
        <f>F69+F121</f>
        <v>30.134688000000001</v>
      </c>
      <c r="D23" s="26"/>
      <c r="E23" s="28">
        <f>C23/$C$29</f>
        <v>0.50978414901575819</v>
      </c>
      <c r="F23" s="26"/>
    </row>
    <row r="24" spans="1:6" x14ac:dyDescent="0.3">
      <c r="A24" s="26" t="s">
        <v>8</v>
      </c>
      <c r="B24" s="26"/>
      <c r="C24" s="27">
        <f>F74+F79+F126+F131</f>
        <v>32.696514000000001</v>
      </c>
      <c r="D24" s="26"/>
      <c r="E24" s="28">
        <f t="shared" ref="E24:E29" si="0">C24/$C$29</f>
        <v>0.5531221881332179</v>
      </c>
      <c r="F24" s="26"/>
    </row>
    <row r="25" spans="1:6" x14ac:dyDescent="0.3">
      <c r="A25" s="26" t="s">
        <v>9</v>
      </c>
      <c r="B25" s="26"/>
      <c r="C25" s="27">
        <f>F82+F134</f>
        <v>1.2712000000000001</v>
      </c>
      <c r="D25" s="26"/>
      <c r="E25" s="28">
        <f t="shared" si="0"/>
        <v>2.1504706145583186E-2</v>
      </c>
      <c r="F25" s="26"/>
    </row>
    <row r="26" spans="1:6" x14ac:dyDescent="0.3">
      <c r="A26" s="26" t="s">
        <v>64</v>
      </c>
      <c r="B26" s="26"/>
      <c r="C26" s="29">
        <f>F135</f>
        <v>-11.4</v>
      </c>
      <c r="D26" s="26"/>
      <c r="E26" s="28">
        <f t="shared" si="0"/>
        <v>-0.19285214762401534</v>
      </c>
      <c r="F26" s="26"/>
    </row>
    <row r="27" spans="1:6" x14ac:dyDescent="0.3">
      <c r="A27" s="26" t="s">
        <v>11</v>
      </c>
      <c r="B27" s="26"/>
      <c r="C27" s="29">
        <f>F138</f>
        <v>64.102401999999998</v>
      </c>
      <c r="D27" s="26"/>
      <c r="E27" s="28"/>
      <c r="F27" s="26"/>
    </row>
    <row r="28" spans="1:6" x14ac:dyDescent="0.3">
      <c r="A28" s="26" t="s">
        <v>12</v>
      </c>
      <c r="B28" s="26"/>
      <c r="C28" s="27">
        <f>F137</f>
        <v>6.4102401999999996</v>
      </c>
      <c r="D28" s="26"/>
      <c r="E28" s="28">
        <f t="shared" si="0"/>
        <v>0.10844110432945593</v>
      </c>
      <c r="F28" s="26"/>
    </row>
    <row r="29" spans="1:6" x14ac:dyDescent="0.3">
      <c r="A29" s="30" t="s">
        <v>13</v>
      </c>
      <c r="B29" s="30"/>
      <c r="C29" s="31">
        <f>F139</f>
        <v>59.112642200000003</v>
      </c>
      <c r="D29" s="30"/>
      <c r="E29" s="28">
        <f t="shared" si="0"/>
        <v>1</v>
      </c>
      <c r="F29" s="30"/>
    </row>
    <row r="31" spans="1:6" x14ac:dyDescent="0.3">
      <c r="B31" s="2"/>
      <c r="C31" s="2"/>
      <c r="D31" s="2"/>
      <c r="E31" s="2"/>
    </row>
    <row r="32" spans="1:6" ht="18" x14ac:dyDescent="0.35">
      <c r="A32" s="20" t="s">
        <v>14</v>
      </c>
      <c r="B32" s="21"/>
      <c r="C32" s="21"/>
      <c r="D32" s="21"/>
      <c r="E32" s="22" t="s">
        <v>5</v>
      </c>
      <c r="F32" s="20"/>
    </row>
    <row r="33" spans="1:6" x14ac:dyDescent="0.3">
      <c r="A33" s="25" t="s">
        <v>15</v>
      </c>
      <c r="B33" s="26"/>
      <c r="C33" s="26"/>
      <c r="D33" s="26"/>
      <c r="E33" s="37">
        <v>66.73</v>
      </c>
      <c r="F33" s="26"/>
    </row>
    <row r="34" spans="1:6" x14ac:dyDescent="0.3">
      <c r="A34" s="26" t="s">
        <v>54</v>
      </c>
      <c r="B34" s="26"/>
      <c r="C34" s="26"/>
      <c r="D34" s="26"/>
      <c r="E34" s="29">
        <f>E33-C29</f>
        <v>7.6173578000000006</v>
      </c>
      <c r="F34" s="26"/>
    </row>
    <row r="35" spans="1:6" x14ac:dyDescent="0.3">
      <c r="A35" s="26" t="s">
        <v>16</v>
      </c>
      <c r="B35" s="26"/>
      <c r="C35" s="26"/>
      <c r="D35" s="26"/>
      <c r="E35" s="29">
        <f>E34*6</f>
        <v>45.704146800000004</v>
      </c>
      <c r="F35" s="26"/>
    </row>
    <row r="47" spans="1:6" x14ac:dyDescent="0.3">
      <c r="A47" s="3">
        <f ca="1">TODAY()</f>
        <v>45957</v>
      </c>
      <c r="D47" s="4"/>
    </row>
    <row r="50" spans="1:6" ht="18" x14ac:dyDescent="0.35">
      <c r="A50" s="47" t="s">
        <v>74</v>
      </c>
      <c r="B50" s="47"/>
      <c r="C50" s="47"/>
      <c r="D50" s="47"/>
      <c r="E50" s="47"/>
      <c r="F50" s="47"/>
    </row>
    <row r="51" spans="1:6" x14ac:dyDescent="0.3">
      <c r="A51" s="38"/>
      <c r="B51" s="38" t="s">
        <v>17</v>
      </c>
      <c r="C51" s="38" t="s">
        <v>18</v>
      </c>
      <c r="D51" s="38" t="s">
        <v>19</v>
      </c>
      <c r="E51" s="38" t="s">
        <v>20</v>
      </c>
      <c r="F51" s="38" t="s">
        <v>21</v>
      </c>
    </row>
    <row r="52" spans="1:6" x14ac:dyDescent="0.3">
      <c r="A52" t="s">
        <v>22</v>
      </c>
      <c r="B52" t="s">
        <v>60</v>
      </c>
      <c r="C52" s="6">
        <v>10</v>
      </c>
      <c r="D52">
        <v>1</v>
      </c>
      <c r="E52">
        <v>10</v>
      </c>
      <c r="F52" s="5">
        <f>C52*D52</f>
        <v>10</v>
      </c>
    </row>
    <row r="53" spans="1:6" x14ac:dyDescent="0.3">
      <c r="A53" t="s">
        <v>23</v>
      </c>
      <c r="B53" t="s">
        <v>59</v>
      </c>
      <c r="C53" s="6">
        <v>0.109858</v>
      </c>
      <c r="D53">
        <v>1</v>
      </c>
      <c r="E53">
        <v>10</v>
      </c>
      <c r="F53" s="5">
        <v>0</v>
      </c>
    </row>
    <row r="54" spans="1:6" x14ac:dyDescent="0.3">
      <c r="A54" t="s">
        <v>24</v>
      </c>
      <c r="B54" t="s">
        <v>26</v>
      </c>
      <c r="C54" s="6">
        <v>0.16764000000000001</v>
      </c>
      <c r="D54" s="2">
        <v>7</v>
      </c>
      <c r="E54">
        <v>10</v>
      </c>
      <c r="F54" s="5">
        <f t="shared" ref="F54:F68" si="1">C54*D54</f>
        <v>1.1734800000000001</v>
      </c>
    </row>
    <row r="55" spans="1:6" x14ac:dyDescent="0.3">
      <c r="A55" t="s">
        <v>25</v>
      </c>
      <c r="B55" t="s">
        <v>26</v>
      </c>
      <c r="C55" s="6">
        <v>0.16894999999999999</v>
      </c>
      <c r="D55" s="2">
        <v>2</v>
      </c>
      <c r="E55">
        <v>10</v>
      </c>
      <c r="F55" s="5">
        <f t="shared" si="1"/>
        <v>0.33789999999999998</v>
      </c>
    </row>
    <row r="56" spans="1:6" x14ac:dyDescent="0.3">
      <c r="A56" t="s">
        <v>27</v>
      </c>
      <c r="B56" t="s">
        <v>26</v>
      </c>
      <c r="C56" s="6">
        <v>0.14990999999999999</v>
      </c>
      <c r="D56" s="2">
        <v>2</v>
      </c>
      <c r="E56">
        <v>10</v>
      </c>
      <c r="F56" s="5">
        <f t="shared" si="1"/>
        <v>0.29981999999999998</v>
      </c>
    </row>
    <row r="57" spans="1:6" x14ac:dyDescent="0.3">
      <c r="A57" t="s">
        <v>28</v>
      </c>
      <c r="B57" t="s">
        <v>26</v>
      </c>
      <c r="C57" s="6">
        <f>C54</f>
        <v>0.16764000000000001</v>
      </c>
      <c r="D57">
        <f xml:space="preserve"> ROUND(D54*10/100,0)</f>
        <v>1</v>
      </c>
      <c r="E57">
        <v>10</v>
      </c>
      <c r="F57" s="5">
        <f t="shared" si="1"/>
        <v>0.16764000000000001</v>
      </c>
    </row>
    <row r="58" spans="1:6" x14ac:dyDescent="0.3">
      <c r="A58" t="s">
        <v>29</v>
      </c>
      <c r="B58" t="s">
        <v>30</v>
      </c>
      <c r="C58" s="6">
        <f>C55</f>
        <v>0.16894999999999999</v>
      </c>
      <c r="D58">
        <f xml:space="preserve"> ROUND(D55*10/100,0)</f>
        <v>0</v>
      </c>
      <c r="E58">
        <v>10</v>
      </c>
      <c r="F58" s="5">
        <f t="shared" si="1"/>
        <v>0</v>
      </c>
    </row>
    <row r="59" spans="1:6" x14ac:dyDescent="0.3">
      <c r="A59" t="s">
        <v>31</v>
      </c>
      <c r="B59" t="s">
        <v>26</v>
      </c>
      <c r="C59" s="6">
        <f>C56</f>
        <v>0.14990999999999999</v>
      </c>
      <c r="D59">
        <f xml:space="preserve"> ROUND(D56*10/100,0)</f>
        <v>0</v>
      </c>
      <c r="E59">
        <v>10</v>
      </c>
      <c r="F59" s="5">
        <f t="shared" si="1"/>
        <v>0</v>
      </c>
    </row>
    <row r="60" spans="1:6" x14ac:dyDescent="0.3">
      <c r="A60" t="s">
        <v>32</v>
      </c>
      <c r="B60" t="s">
        <v>26</v>
      </c>
      <c r="C60">
        <v>1.9530000000000001E-3</v>
      </c>
      <c r="D60">
        <f>D54+D55+D56+D57+D58+D59</f>
        <v>12</v>
      </c>
      <c r="E60">
        <v>10</v>
      </c>
      <c r="F60" s="5">
        <f t="shared" si="1"/>
        <v>2.3436000000000002E-2</v>
      </c>
    </row>
    <row r="61" spans="1:6" x14ac:dyDescent="0.3">
      <c r="A61" t="s">
        <v>33</v>
      </c>
      <c r="B61" t="s">
        <v>26</v>
      </c>
      <c r="C61">
        <v>2.0479999999999999E-3</v>
      </c>
      <c r="D61">
        <f>D60</f>
        <v>12</v>
      </c>
      <c r="E61">
        <v>10</v>
      </c>
      <c r="F61" s="5">
        <f t="shared" si="1"/>
        <v>2.4576000000000001E-2</v>
      </c>
    </row>
    <row r="62" spans="1:6" x14ac:dyDescent="0.3">
      <c r="A62" t="s">
        <v>34</v>
      </c>
      <c r="B62" t="s">
        <v>26</v>
      </c>
      <c r="C62">
        <v>5.5800000000000001E-4</v>
      </c>
      <c r="D62">
        <f t="shared" ref="D62:D64" si="2">D61</f>
        <v>12</v>
      </c>
      <c r="E62">
        <v>10</v>
      </c>
      <c r="F62" s="5">
        <f t="shared" si="1"/>
        <v>6.6960000000000006E-3</v>
      </c>
    </row>
    <row r="63" spans="1:6" x14ac:dyDescent="0.3">
      <c r="A63" t="s">
        <v>35</v>
      </c>
      <c r="B63" t="s">
        <v>26</v>
      </c>
      <c r="C63">
        <v>8.5599999999999999E-4</v>
      </c>
      <c r="D63">
        <f t="shared" si="2"/>
        <v>12</v>
      </c>
      <c r="E63">
        <v>10</v>
      </c>
      <c r="F63" s="5">
        <f t="shared" si="1"/>
        <v>1.0272E-2</v>
      </c>
    </row>
    <row r="64" spans="1:6" x14ac:dyDescent="0.3">
      <c r="A64" t="s">
        <v>61</v>
      </c>
      <c r="B64" t="s">
        <v>26</v>
      </c>
      <c r="C64" s="6">
        <v>5.1999999999999995E-4</v>
      </c>
      <c r="D64">
        <f t="shared" si="2"/>
        <v>12</v>
      </c>
      <c r="E64">
        <v>10</v>
      </c>
      <c r="F64" s="5">
        <f>C64*D64</f>
        <v>6.239999999999999E-3</v>
      </c>
    </row>
    <row r="65" spans="1:6" x14ac:dyDescent="0.3">
      <c r="A65" t="s">
        <v>36</v>
      </c>
      <c r="B65" t="s">
        <v>37</v>
      </c>
      <c r="C65" s="6">
        <v>7.0000000000000001E-3</v>
      </c>
      <c r="D65">
        <v>0</v>
      </c>
      <c r="E65">
        <v>10</v>
      </c>
      <c r="F65" s="5">
        <f t="shared" si="1"/>
        <v>0</v>
      </c>
    </row>
    <row r="66" spans="1:6" ht="43.2" x14ac:dyDescent="0.3">
      <c r="A66" s="13" t="s">
        <v>57</v>
      </c>
      <c r="B66" t="s">
        <v>26</v>
      </c>
      <c r="C66" s="6">
        <v>0.01</v>
      </c>
      <c r="D66">
        <f>D63</f>
        <v>12</v>
      </c>
      <c r="E66">
        <v>10</v>
      </c>
      <c r="F66" s="5">
        <f t="shared" si="1"/>
        <v>0.12</v>
      </c>
    </row>
    <row r="67" spans="1:6" x14ac:dyDescent="0.3">
      <c r="A67" s="13" t="s">
        <v>58</v>
      </c>
      <c r="B67" t="s">
        <v>26</v>
      </c>
      <c r="C67" s="6">
        <v>5.0000000000000001E-3</v>
      </c>
      <c r="D67">
        <f>D61</f>
        <v>12</v>
      </c>
      <c r="E67">
        <v>10</v>
      </c>
      <c r="F67" s="5">
        <f>D67*C67</f>
        <v>0.06</v>
      </c>
    </row>
    <row r="68" spans="1:6" x14ac:dyDescent="0.3">
      <c r="A68" t="s">
        <v>38</v>
      </c>
      <c r="B68" t="s">
        <v>26</v>
      </c>
      <c r="C68" s="6">
        <v>1.093E-2</v>
      </c>
      <c r="D68">
        <f>D66</f>
        <v>12</v>
      </c>
      <c r="E68">
        <v>10</v>
      </c>
      <c r="F68" s="5">
        <f t="shared" si="1"/>
        <v>0.13116</v>
      </c>
    </row>
    <row r="69" spans="1:6" x14ac:dyDescent="0.3">
      <c r="A69" s="38" t="s">
        <v>39</v>
      </c>
      <c r="B69" s="38"/>
      <c r="C69" s="38"/>
      <c r="D69" s="38"/>
      <c r="E69" s="38"/>
      <c r="F69" s="39">
        <f>SUM(F52:F68)</f>
        <v>12.361219999999999</v>
      </c>
    </row>
    <row r="71" spans="1:6" x14ac:dyDescent="0.3">
      <c r="A71" t="s">
        <v>40</v>
      </c>
      <c r="B71" t="s">
        <v>41</v>
      </c>
      <c r="C71" s="6">
        <v>1.8665670000000001</v>
      </c>
      <c r="D71" s="2">
        <v>3</v>
      </c>
      <c r="E71">
        <v>10</v>
      </c>
      <c r="F71" s="5">
        <f>C71*D71</f>
        <v>5.5997010000000005</v>
      </c>
    </row>
    <row r="72" spans="1:6" x14ac:dyDescent="0.3">
      <c r="A72" t="s">
        <v>42</v>
      </c>
      <c r="B72" t="s">
        <v>43</v>
      </c>
      <c r="C72" s="6">
        <v>1.84</v>
      </c>
      <c r="D72">
        <v>1</v>
      </c>
      <c r="E72">
        <v>10</v>
      </c>
      <c r="F72" s="5">
        <f>C72*D72</f>
        <v>1.84</v>
      </c>
    </row>
    <row r="73" spans="1:6" x14ac:dyDescent="0.3">
      <c r="A73" t="s">
        <v>44</v>
      </c>
      <c r="B73" t="s">
        <v>26</v>
      </c>
      <c r="C73" s="6">
        <v>1.2200000000000001E-2</v>
      </c>
      <c r="D73">
        <f>D54+D55+D56</f>
        <v>11</v>
      </c>
      <c r="E73">
        <v>10</v>
      </c>
      <c r="F73" s="5">
        <f>C73*D73</f>
        <v>0.13420000000000001</v>
      </c>
    </row>
    <row r="74" spans="1:6" x14ac:dyDescent="0.3">
      <c r="A74" s="38" t="s">
        <v>45</v>
      </c>
      <c r="B74" s="38"/>
      <c r="C74" s="38"/>
      <c r="D74" s="38"/>
      <c r="E74" s="38"/>
      <c r="F74" s="39">
        <f>SUM(F71:F73)</f>
        <v>7.5739010000000002</v>
      </c>
    </row>
    <row r="75" spans="1:6" x14ac:dyDescent="0.3">
      <c r="C75" s="6"/>
    </row>
    <row r="76" spans="1:6" x14ac:dyDescent="0.3">
      <c r="A76" t="s">
        <v>46</v>
      </c>
      <c r="B76" t="s">
        <v>43</v>
      </c>
      <c r="C76" s="12">
        <v>7.6302000000000003</v>
      </c>
      <c r="D76">
        <v>1</v>
      </c>
      <c r="E76">
        <v>10</v>
      </c>
      <c r="F76" s="5">
        <f t="shared" ref="F76:F78" si="3">C76*D76</f>
        <v>7.6302000000000003</v>
      </c>
    </row>
    <row r="77" spans="1:6" x14ac:dyDescent="0.3">
      <c r="A77" t="s">
        <v>47</v>
      </c>
      <c r="B77" t="s">
        <v>26</v>
      </c>
      <c r="C77" s="6">
        <v>8.8280000000000008E-3</v>
      </c>
      <c r="D77">
        <f>D54+D55+D56</f>
        <v>11</v>
      </c>
      <c r="E77">
        <v>10</v>
      </c>
      <c r="F77" s="5">
        <f t="shared" si="3"/>
        <v>9.7108000000000014E-2</v>
      </c>
    </row>
    <row r="78" spans="1:6" x14ac:dyDescent="0.3">
      <c r="A78" t="s">
        <v>48</v>
      </c>
      <c r="B78" t="s">
        <v>26</v>
      </c>
      <c r="C78" s="6">
        <v>2.9808999999999999E-2</v>
      </c>
      <c r="D78">
        <f>D77</f>
        <v>11</v>
      </c>
      <c r="E78">
        <v>10</v>
      </c>
      <c r="F78" s="5">
        <f t="shared" si="3"/>
        <v>0.327899</v>
      </c>
    </row>
    <row r="79" spans="1:6" x14ac:dyDescent="0.3">
      <c r="A79" s="38" t="s">
        <v>49</v>
      </c>
      <c r="B79" s="38"/>
      <c r="C79" s="38"/>
      <c r="D79" s="38"/>
      <c r="E79" s="38"/>
      <c r="F79" s="39">
        <f>SUM(F76:F78)</f>
        <v>8.0552070000000011</v>
      </c>
    </row>
    <row r="81" spans="1:6" x14ac:dyDescent="0.3">
      <c r="A81" t="s">
        <v>50</v>
      </c>
      <c r="B81" t="s">
        <v>26</v>
      </c>
      <c r="C81" s="6">
        <v>2.2700000000000001E-2</v>
      </c>
      <c r="D81">
        <f>D78</f>
        <v>11</v>
      </c>
      <c r="E81">
        <v>10</v>
      </c>
      <c r="F81" s="5">
        <f t="shared" ref="F81" si="4">C81*D81</f>
        <v>0.24970000000000001</v>
      </c>
    </row>
    <row r="82" spans="1:6" x14ac:dyDescent="0.3">
      <c r="A82" s="38" t="s">
        <v>51</v>
      </c>
      <c r="B82" s="38"/>
      <c r="C82" s="38"/>
      <c r="D82" s="38"/>
      <c r="E82" s="38"/>
      <c r="F82" s="39">
        <f>SUM(F81)</f>
        <v>0.24970000000000001</v>
      </c>
    </row>
    <row r="84" spans="1:6" x14ac:dyDescent="0.3">
      <c r="B84" s="10"/>
      <c r="C84" s="10"/>
      <c r="D84" s="10"/>
      <c r="E84" s="10"/>
      <c r="F84" s="11"/>
    </row>
    <row r="85" spans="1:6" x14ac:dyDescent="0.3">
      <c r="A85" s="14" t="s">
        <v>55</v>
      </c>
      <c r="B85" s="7"/>
      <c r="C85" s="7"/>
      <c r="D85" s="7"/>
      <c r="E85" s="7"/>
      <c r="F85" s="7"/>
    </row>
    <row r="86" spans="1:6" x14ac:dyDescent="0.3">
      <c r="A86" s="14" t="s">
        <v>13</v>
      </c>
      <c r="B86" s="14"/>
      <c r="C86" s="14"/>
      <c r="D86" s="14"/>
      <c r="E86" s="14"/>
      <c r="F86" s="15">
        <f>F69+F74+F79+F82+F84</f>
        <v>28.240027999999999</v>
      </c>
    </row>
    <row r="95" spans="1:6" x14ac:dyDescent="0.3">
      <c r="A95" s="3">
        <f ca="1">TODAY()</f>
        <v>45957</v>
      </c>
      <c r="D95" s="4"/>
    </row>
    <row r="100" spans="1:6" x14ac:dyDescent="0.3">
      <c r="A100" s="3"/>
      <c r="D100" s="4"/>
    </row>
    <row r="102" spans="1:6" ht="18" x14ac:dyDescent="0.35">
      <c r="A102" s="47" t="s">
        <v>75</v>
      </c>
      <c r="B102" s="48"/>
      <c r="C102" s="48"/>
      <c r="D102" s="48"/>
      <c r="E102" s="48"/>
      <c r="F102" s="48"/>
    </row>
    <row r="103" spans="1:6" x14ac:dyDescent="0.3">
      <c r="A103" s="38"/>
      <c r="B103" s="38" t="s">
        <v>17</v>
      </c>
      <c r="C103" s="38" t="s">
        <v>18</v>
      </c>
      <c r="D103" s="38" t="s">
        <v>19</v>
      </c>
      <c r="E103" s="38" t="s">
        <v>20</v>
      </c>
      <c r="F103" s="38" t="s">
        <v>21</v>
      </c>
    </row>
    <row r="104" spans="1:6" x14ac:dyDescent="0.3">
      <c r="A104" t="s">
        <v>22</v>
      </c>
      <c r="B104" t="s">
        <v>60</v>
      </c>
      <c r="C104" s="6">
        <v>10</v>
      </c>
      <c r="D104">
        <v>1</v>
      </c>
      <c r="E104">
        <v>10</v>
      </c>
      <c r="F104" s="5">
        <f>C104*D104</f>
        <v>10</v>
      </c>
    </row>
    <row r="105" spans="1:6" x14ac:dyDescent="0.3">
      <c r="A105" t="s">
        <v>23</v>
      </c>
      <c r="B105" t="s">
        <v>59</v>
      </c>
      <c r="C105" s="6">
        <v>0.109858</v>
      </c>
      <c r="D105">
        <v>1</v>
      </c>
      <c r="E105">
        <v>10</v>
      </c>
      <c r="F105" s="5">
        <f>C105</f>
        <v>0.109858</v>
      </c>
    </row>
    <row r="106" spans="1:6" x14ac:dyDescent="0.3">
      <c r="A106" t="s">
        <v>24</v>
      </c>
      <c r="B106" t="s">
        <v>26</v>
      </c>
      <c r="C106" s="6">
        <v>0.13167999999999999</v>
      </c>
      <c r="D106" s="2">
        <v>37</v>
      </c>
      <c r="E106">
        <v>10</v>
      </c>
      <c r="F106" s="5">
        <f t="shared" ref="F106:F120" si="5">C106*D106</f>
        <v>4.87216</v>
      </c>
    </row>
    <row r="107" spans="1:6" x14ac:dyDescent="0.3">
      <c r="A107" t="s">
        <v>25</v>
      </c>
      <c r="B107" t="s">
        <v>26</v>
      </c>
      <c r="C107" s="6">
        <v>0.14485999999999999</v>
      </c>
      <c r="D107" s="2">
        <v>3</v>
      </c>
      <c r="E107">
        <v>10</v>
      </c>
      <c r="F107" s="5">
        <f t="shared" si="5"/>
        <v>0.43457999999999997</v>
      </c>
    </row>
    <row r="108" spans="1:6" x14ac:dyDescent="0.3">
      <c r="A108" t="s">
        <v>27</v>
      </c>
      <c r="B108" t="s">
        <v>26</v>
      </c>
      <c r="C108" s="6">
        <v>0.12164999999999999</v>
      </c>
      <c r="D108" s="2">
        <v>5</v>
      </c>
      <c r="E108">
        <v>10</v>
      </c>
      <c r="F108" s="5">
        <f t="shared" si="5"/>
        <v>0.60824999999999996</v>
      </c>
    </row>
    <row r="109" spans="1:6" x14ac:dyDescent="0.3">
      <c r="A109" t="s">
        <v>28</v>
      </c>
      <c r="B109" t="s">
        <v>26</v>
      </c>
      <c r="C109" s="6">
        <f>C106</f>
        <v>0.13167999999999999</v>
      </c>
      <c r="D109">
        <f xml:space="preserve"> ROUND(D106*10/100,0)</f>
        <v>4</v>
      </c>
      <c r="E109">
        <v>10</v>
      </c>
      <c r="F109" s="5">
        <f t="shared" si="5"/>
        <v>0.52671999999999997</v>
      </c>
    </row>
    <row r="110" spans="1:6" x14ac:dyDescent="0.3">
      <c r="A110" t="s">
        <v>29</v>
      </c>
      <c r="B110" t="s">
        <v>30</v>
      </c>
      <c r="C110" s="6">
        <f>C107</f>
        <v>0.14485999999999999</v>
      </c>
      <c r="D110">
        <f xml:space="preserve"> ROUND(D107*10/100,0)</f>
        <v>0</v>
      </c>
      <c r="E110">
        <v>10</v>
      </c>
      <c r="F110" s="5">
        <f t="shared" si="5"/>
        <v>0</v>
      </c>
    </row>
    <row r="111" spans="1:6" x14ac:dyDescent="0.3">
      <c r="A111" t="s">
        <v>31</v>
      </c>
      <c r="B111" t="s">
        <v>26</v>
      </c>
      <c r="C111" s="6">
        <f>C108</f>
        <v>0.12164999999999999</v>
      </c>
      <c r="D111">
        <f xml:space="preserve"> ROUND(D108*10/100,0)</f>
        <v>1</v>
      </c>
      <c r="E111">
        <v>10</v>
      </c>
      <c r="F111" s="5">
        <f t="shared" si="5"/>
        <v>0.12164999999999999</v>
      </c>
    </row>
    <row r="112" spans="1:6" x14ac:dyDescent="0.3">
      <c r="A112" t="s">
        <v>32</v>
      </c>
      <c r="B112" t="s">
        <v>26</v>
      </c>
      <c r="C112">
        <v>1.9530000000000001E-3</v>
      </c>
      <c r="D112">
        <f>D106+D107+D108+D109+D110+D111</f>
        <v>50</v>
      </c>
      <c r="E112">
        <v>10</v>
      </c>
      <c r="F112" s="5">
        <f t="shared" si="5"/>
        <v>9.7650000000000001E-2</v>
      </c>
    </row>
    <row r="113" spans="1:6" x14ac:dyDescent="0.3">
      <c r="A113" t="s">
        <v>33</v>
      </c>
      <c r="B113" t="s">
        <v>26</v>
      </c>
      <c r="C113">
        <v>2.0479999999999999E-3</v>
      </c>
      <c r="D113">
        <f>D112</f>
        <v>50</v>
      </c>
      <c r="E113">
        <v>10</v>
      </c>
      <c r="F113" s="5">
        <f t="shared" si="5"/>
        <v>0.10239999999999999</v>
      </c>
    </row>
    <row r="114" spans="1:6" x14ac:dyDescent="0.3">
      <c r="A114" t="s">
        <v>34</v>
      </c>
      <c r="B114" t="s">
        <v>26</v>
      </c>
      <c r="C114">
        <v>5.5800000000000001E-4</v>
      </c>
      <c r="D114">
        <f t="shared" ref="D114:D116" si="6">D113</f>
        <v>50</v>
      </c>
      <c r="E114">
        <v>10</v>
      </c>
      <c r="F114" s="5">
        <f t="shared" si="5"/>
        <v>2.7900000000000001E-2</v>
      </c>
    </row>
    <row r="115" spans="1:6" x14ac:dyDescent="0.3">
      <c r="A115" t="s">
        <v>35</v>
      </c>
      <c r="B115" t="s">
        <v>26</v>
      </c>
      <c r="C115">
        <v>8.5599999999999999E-4</v>
      </c>
      <c r="D115">
        <f t="shared" si="6"/>
        <v>50</v>
      </c>
      <c r="E115">
        <v>10</v>
      </c>
      <c r="F115" s="5">
        <f t="shared" si="5"/>
        <v>4.2799999999999998E-2</v>
      </c>
    </row>
    <row r="116" spans="1:6" x14ac:dyDescent="0.3">
      <c r="A116" t="s">
        <v>61</v>
      </c>
      <c r="B116" t="s">
        <v>26</v>
      </c>
      <c r="C116" s="6">
        <v>5.1999999999999995E-4</v>
      </c>
      <c r="D116">
        <f t="shared" si="6"/>
        <v>50</v>
      </c>
      <c r="E116">
        <v>10</v>
      </c>
      <c r="F116" s="5">
        <f>C116*D116</f>
        <v>2.5999999999999999E-2</v>
      </c>
    </row>
    <row r="117" spans="1:6" x14ac:dyDescent="0.3">
      <c r="A117" t="s">
        <v>36</v>
      </c>
      <c r="B117" t="s">
        <v>37</v>
      </c>
      <c r="C117" s="6">
        <v>7.0000000000000001E-3</v>
      </c>
      <c r="D117">
        <v>1</v>
      </c>
      <c r="E117">
        <v>10</v>
      </c>
      <c r="F117" s="5">
        <f t="shared" si="5"/>
        <v>7.0000000000000001E-3</v>
      </c>
    </row>
    <row r="118" spans="1:6" ht="28.8" x14ac:dyDescent="0.3">
      <c r="A118" s="13" t="s">
        <v>62</v>
      </c>
      <c r="B118" t="s">
        <v>26</v>
      </c>
      <c r="C118" s="6">
        <v>0.01</v>
      </c>
      <c r="D118">
        <f>D115</f>
        <v>50</v>
      </c>
      <c r="E118">
        <v>10</v>
      </c>
      <c r="F118" s="5">
        <f t="shared" si="5"/>
        <v>0.5</v>
      </c>
    </row>
    <row r="119" spans="1:6" x14ac:dyDescent="0.3">
      <c r="A119" s="13" t="s">
        <v>58</v>
      </c>
      <c r="B119" t="s">
        <v>26</v>
      </c>
      <c r="C119" s="6">
        <v>5.0000000000000001E-3</v>
      </c>
      <c r="D119">
        <f>D113</f>
        <v>50</v>
      </c>
      <c r="E119">
        <v>10</v>
      </c>
      <c r="F119" s="5">
        <f>D119*C119</f>
        <v>0.25</v>
      </c>
    </row>
    <row r="120" spans="1:6" x14ac:dyDescent="0.3">
      <c r="A120" t="s">
        <v>38</v>
      </c>
      <c r="B120" t="s">
        <v>26</v>
      </c>
      <c r="C120" s="6">
        <v>9.3000000000000005E-4</v>
      </c>
      <c r="D120">
        <f>D118</f>
        <v>50</v>
      </c>
      <c r="E120">
        <v>10</v>
      </c>
      <c r="F120" s="5">
        <f t="shared" si="5"/>
        <v>4.65E-2</v>
      </c>
    </row>
    <row r="121" spans="1:6" x14ac:dyDescent="0.3">
      <c r="A121" s="38" t="s">
        <v>39</v>
      </c>
      <c r="B121" s="38"/>
      <c r="C121" s="38"/>
      <c r="D121" s="38"/>
      <c r="E121" s="38"/>
      <c r="F121" s="39">
        <f>SUM(F104:F120)</f>
        <v>17.773468000000001</v>
      </c>
    </row>
    <row r="123" spans="1:6" x14ac:dyDescent="0.3">
      <c r="A123" t="s">
        <v>40</v>
      </c>
      <c r="B123" t="s">
        <v>41</v>
      </c>
      <c r="C123" s="6">
        <v>1.8665670000000001</v>
      </c>
      <c r="D123" s="2">
        <v>3</v>
      </c>
      <c r="E123">
        <v>10</v>
      </c>
      <c r="F123" s="5">
        <f>C123*D123</f>
        <v>5.5997010000000005</v>
      </c>
    </row>
    <row r="124" spans="1:6" x14ac:dyDescent="0.3">
      <c r="A124" t="s">
        <v>42</v>
      </c>
      <c r="B124" t="s">
        <v>43</v>
      </c>
      <c r="C124" s="6">
        <v>1.84</v>
      </c>
      <c r="D124">
        <v>1</v>
      </c>
      <c r="E124">
        <v>10</v>
      </c>
      <c r="F124" s="5">
        <f>C124*D124</f>
        <v>1.84</v>
      </c>
    </row>
    <row r="125" spans="1:6" x14ac:dyDescent="0.3">
      <c r="A125" t="s">
        <v>44</v>
      </c>
      <c r="B125" t="s">
        <v>26</v>
      </c>
      <c r="C125" s="6">
        <v>1.2200000000000001E-2</v>
      </c>
      <c r="D125">
        <f>D106+D107+D108</f>
        <v>45</v>
      </c>
      <c r="E125">
        <v>10</v>
      </c>
      <c r="F125" s="5">
        <f>C125*D125</f>
        <v>0.54900000000000004</v>
      </c>
    </row>
    <row r="126" spans="1:6" x14ac:dyDescent="0.3">
      <c r="A126" s="38" t="s">
        <v>45</v>
      </c>
      <c r="B126" s="38"/>
      <c r="C126" s="38"/>
      <c r="D126" s="38"/>
      <c r="E126" s="38"/>
      <c r="F126" s="39">
        <f>SUM(F123:F125)</f>
        <v>7.9887010000000007</v>
      </c>
    </row>
    <row r="127" spans="1:6" x14ac:dyDescent="0.3">
      <c r="C127" s="6"/>
    </row>
    <row r="128" spans="1:6" ht="28.8" x14ac:dyDescent="0.3">
      <c r="A128" s="13" t="s">
        <v>46</v>
      </c>
      <c r="B128" t="s">
        <v>43</v>
      </c>
      <c r="C128" s="12">
        <v>7.6302000000000003</v>
      </c>
      <c r="D128">
        <v>1</v>
      </c>
      <c r="E128">
        <v>10</v>
      </c>
      <c r="F128" s="5">
        <f>C128*D128</f>
        <v>7.6302000000000003</v>
      </c>
    </row>
    <row r="129" spans="1:6" ht="28.8" x14ac:dyDescent="0.3">
      <c r="A129" s="13" t="s">
        <v>47</v>
      </c>
      <c r="B129" t="s">
        <v>26</v>
      </c>
      <c r="C129" s="6">
        <v>2.8289999999999999E-3</v>
      </c>
      <c r="D129">
        <f>D106+D107+D108</f>
        <v>45</v>
      </c>
      <c r="E129">
        <v>10</v>
      </c>
      <c r="F129" s="5">
        <f t="shared" ref="F129:F130" si="7">C129*D129</f>
        <v>0.127305</v>
      </c>
    </row>
    <row r="130" spans="1:6" ht="28.8" x14ac:dyDescent="0.3">
      <c r="A130" s="13" t="s">
        <v>48</v>
      </c>
      <c r="B130" t="s">
        <v>26</v>
      </c>
      <c r="C130" s="6">
        <v>2.9360000000000001E-2</v>
      </c>
      <c r="D130">
        <f>D129</f>
        <v>45</v>
      </c>
      <c r="E130">
        <v>10</v>
      </c>
      <c r="F130" s="5">
        <f t="shared" si="7"/>
        <v>1.3211999999999999</v>
      </c>
    </row>
    <row r="131" spans="1:6" x14ac:dyDescent="0.3">
      <c r="A131" s="38" t="s">
        <v>49</v>
      </c>
      <c r="B131" s="38"/>
      <c r="C131" s="38"/>
      <c r="D131" s="38"/>
      <c r="E131" s="38"/>
      <c r="F131" s="39">
        <f>SUM(F128:F130)</f>
        <v>9.0787049999999994</v>
      </c>
    </row>
    <row r="133" spans="1:6" x14ac:dyDescent="0.3">
      <c r="A133" t="s">
        <v>50</v>
      </c>
      <c r="B133" t="s">
        <v>26</v>
      </c>
      <c r="C133" s="6">
        <v>2.2700000000000001E-2</v>
      </c>
      <c r="D133">
        <f>D130</f>
        <v>45</v>
      </c>
      <c r="E133">
        <v>10</v>
      </c>
      <c r="F133" s="5">
        <f t="shared" ref="F133" si="8">C133*D133</f>
        <v>1.0215000000000001</v>
      </c>
    </row>
    <row r="134" spans="1:6" x14ac:dyDescent="0.3">
      <c r="A134" s="38" t="s">
        <v>51</v>
      </c>
      <c r="B134" s="38"/>
      <c r="C134" s="38"/>
      <c r="D134" s="38"/>
      <c r="E134" s="38"/>
      <c r="F134" s="39">
        <f>SUM(F133)</f>
        <v>1.0215000000000001</v>
      </c>
    </row>
    <row r="135" spans="1:6" x14ac:dyDescent="0.3">
      <c r="A135" s="40" t="s">
        <v>55</v>
      </c>
      <c r="B135" s="40"/>
      <c r="C135" s="40"/>
      <c r="D135" s="40"/>
      <c r="E135" s="40"/>
      <c r="F135" s="40">
        <v>-11.4</v>
      </c>
    </row>
    <row r="136" spans="1:6" x14ac:dyDescent="0.3">
      <c r="A136" s="41" t="s">
        <v>10</v>
      </c>
      <c r="B136" s="41"/>
      <c r="C136" s="41"/>
      <c r="D136" s="41"/>
      <c r="E136" s="41"/>
      <c r="F136" s="41"/>
    </row>
    <row r="137" spans="1:6" x14ac:dyDescent="0.3">
      <c r="A137" s="42" t="s">
        <v>12</v>
      </c>
      <c r="B137" s="42"/>
      <c r="C137" s="42"/>
      <c r="D137" s="42"/>
      <c r="E137" s="42"/>
      <c r="F137" s="43">
        <f>F138*10/100</f>
        <v>6.4102401999999996</v>
      </c>
    </row>
    <row r="138" spans="1:6" x14ac:dyDescent="0.3">
      <c r="A138" s="44" t="s">
        <v>11</v>
      </c>
      <c r="B138" s="44"/>
      <c r="C138" s="44"/>
      <c r="D138" s="44"/>
      <c r="E138" s="44"/>
      <c r="F138" s="45">
        <f>F134+F126+F131+F121+F82+F79+F74+F69</f>
        <v>64.102401999999998</v>
      </c>
    </row>
    <row r="139" spans="1:6" x14ac:dyDescent="0.3">
      <c r="A139" s="23" t="s">
        <v>13</v>
      </c>
      <c r="B139" s="23"/>
      <c r="C139" s="23"/>
      <c r="D139" s="23"/>
      <c r="E139" s="23"/>
      <c r="F139" s="24">
        <f>F122+F82+F74+F79+F69++F80127+F131+F126+F134+F137+F121+F135+K130</f>
        <v>59.112642200000003</v>
      </c>
    </row>
    <row r="140" spans="1:6" x14ac:dyDescent="0.3">
      <c r="A140" s="7"/>
      <c r="B140" s="7"/>
      <c r="C140" s="7"/>
      <c r="D140" s="7"/>
      <c r="E140" s="7"/>
      <c r="F140" s="8"/>
    </row>
    <row r="141" spans="1:6" x14ac:dyDescent="0.3">
      <c r="A141" s="7"/>
      <c r="B141" s="7"/>
      <c r="C141" s="7"/>
      <c r="D141" s="7"/>
      <c r="E141" s="7"/>
      <c r="F141" s="9"/>
    </row>
    <row r="142" spans="1:6" x14ac:dyDescent="0.3">
      <c r="A142" s="3">
        <f ca="1">TODAY()</f>
        <v>45957</v>
      </c>
      <c r="D142" s="4"/>
    </row>
  </sheetData>
  <mergeCells count="2">
    <mergeCell ref="A50:F50"/>
    <mergeCell ref="A102:F102"/>
  </mergeCell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E" error="DATO NON SELEZIONATO" promptTitle="INSERIRE VALORE" xr:uid="{D34441ED-F5D0-49F0-941D-FFE8B4F5E7FD}">
          <x14:formula1>
            <xm:f>DATI!$B$4:$B$6</xm:f>
          </x14:formula1>
          <xm:sqref>C76 C128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679A90-B716-43D0-BC91-EF3CC12A15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DATI</vt:lpstr>
      <vt:lpstr>NOVEMBRE-DICEMBRE</vt:lpstr>
      <vt:lpstr>DICEMBRE-GENNAIO</vt:lpstr>
      <vt:lpstr>GENNAIO-FEBBRAIO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Andrea De Santis</cp:lastModifiedBy>
  <cp:lastPrinted>2025-03-19T08:13:32Z</cp:lastPrinted>
  <dcterms:created xsi:type="dcterms:W3CDTF">2015-06-05T18:17:20Z</dcterms:created>
  <dcterms:modified xsi:type="dcterms:W3CDTF">2025-10-27T17:36:58Z</dcterms:modified>
</cp:coreProperties>
</file>